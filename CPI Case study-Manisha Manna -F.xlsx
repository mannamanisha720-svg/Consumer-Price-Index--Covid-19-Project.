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hidePivotFieldList="1"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13_ncr:1_{7D00D363-97E4-45B3-B889-9A13CCBF76EB}" xr6:coauthVersionLast="47" xr6:coauthVersionMax="47" xr10:uidLastSave="{00000000-0000-0000-0000-000000000000}"/>
  <bookViews>
    <workbookView xWindow="-120" yWindow="-120" windowWidth="20730" windowHeight="11160" activeTab="1" xr2:uid="{00000000-000D-0000-FFFF-FFFF00000000}"/>
  </bookViews>
  <sheets>
    <sheet name="CIP-Main data" sheetId="1" r:id="rId1"/>
    <sheet name="Problem statement" sheetId="3" r:id="rId2"/>
    <sheet name="ana-1" sheetId="4" r:id="rId3"/>
    <sheet name="Ana-2" sheetId="6" r:id="rId4"/>
    <sheet name="Ana-3" sheetId="9" r:id="rId5"/>
    <sheet name="Ana-4" sheetId="10" r:id="rId6"/>
    <sheet name="Ana-5" sheetId="11" r:id="rId7"/>
    <sheet name="Notes" sheetId="2" r:id="rId8"/>
  </sheets>
  <definedNames>
    <definedName name="_xlnm._FilterDatabase" localSheetId="0" hidden="1">'CIP-Main data'!$A$1:$AN$373</definedName>
  </definedNames>
  <calcPr calcId="191029"/>
  <pivotCaches>
    <pivotCache cacheId="0" r:id="rId9"/>
  </pivotCaches>
</workbook>
</file>

<file path=xl/calcChain.xml><?xml version="1.0" encoding="utf-8"?>
<calcChain xmlns="http://schemas.openxmlformats.org/spreadsheetml/2006/main">
  <c r="L18" i="6" l="1"/>
  <c r="P260" i="1"/>
  <c r="P261" i="1"/>
  <c r="P262" i="1" s="1"/>
  <c r="AA37" i="6"/>
  <c r="AA38" i="6"/>
  <c r="AA39" i="6"/>
  <c r="AA40" i="6"/>
  <c r="AA41" i="6"/>
  <c r="Z35" i="6"/>
  <c r="Z42" i="6" s="1"/>
  <c r="Y37" i="6"/>
  <c r="Y38" i="6"/>
  <c r="Y39" i="6"/>
  <c r="Y40" i="6"/>
  <c r="Y41" i="6"/>
  <c r="X35" i="6"/>
  <c r="X42" i="6" s="1"/>
  <c r="W37" i="6"/>
  <c r="W38" i="6"/>
  <c r="W39" i="6"/>
  <c r="W40" i="6"/>
  <c r="W41" i="6"/>
  <c r="V35" i="6"/>
  <c r="W36" i="6" s="1"/>
  <c r="U37" i="6"/>
  <c r="U38" i="6"/>
  <c r="U39" i="6"/>
  <c r="U40" i="6"/>
  <c r="U41" i="6"/>
  <c r="T35" i="6"/>
  <c r="T42" i="6" s="1"/>
  <c r="S37" i="6"/>
  <c r="S38" i="6"/>
  <c r="S39" i="6"/>
  <c r="S40" i="6"/>
  <c r="S41" i="6"/>
  <c r="R35" i="6"/>
  <c r="R42" i="6" s="1"/>
  <c r="Q37" i="6"/>
  <c r="Q38" i="6"/>
  <c r="Q39" i="6"/>
  <c r="Q40" i="6"/>
  <c r="Q41" i="6"/>
  <c r="P35" i="6"/>
  <c r="P42" i="6" s="1"/>
  <c r="N35" i="6"/>
  <c r="N42" i="6" s="1"/>
  <c r="O37" i="6"/>
  <c r="O39" i="6"/>
  <c r="O40" i="6"/>
  <c r="O41" i="6"/>
  <c r="M37" i="6"/>
  <c r="M38" i="6"/>
  <c r="M39" i="6"/>
  <c r="M40" i="6"/>
  <c r="M41" i="6"/>
  <c r="L35" i="6"/>
  <c r="M36" i="6" s="1"/>
  <c r="G42" i="4"/>
  <c r="P264" i="1" l="1"/>
  <c r="P263" i="1"/>
  <c r="M42" i="6"/>
  <c r="S36" i="6"/>
  <c r="Y36" i="6"/>
  <c r="Y42" i="6" s="1"/>
  <c r="AA36" i="6"/>
  <c r="AA42" i="6" s="1"/>
  <c r="S42" i="6"/>
  <c r="W42" i="6"/>
  <c r="Q36" i="6"/>
  <c r="Q42" i="6" s="1"/>
  <c r="V42" i="6"/>
  <c r="O36" i="6"/>
  <c r="U36" i="6"/>
  <c r="U42" i="6" s="1"/>
  <c r="L42" i="6"/>
  <c r="O38" i="6"/>
  <c r="E6" i="9"/>
  <c r="AO6" i="10"/>
  <c r="Y6" i="10"/>
  <c r="H6" i="10"/>
  <c r="BF6" i="10"/>
  <c r="G6" i="10"/>
  <c r="X6" i="10"/>
  <c r="AN6" i="10"/>
  <c r="BE6" i="10"/>
  <c r="J23" i="11"/>
  <c r="J24" i="11"/>
  <c r="J25" i="11"/>
  <c r="J26" i="11"/>
  <c r="J27" i="11"/>
  <c r="J28" i="11"/>
  <c r="J29" i="11"/>
  <c r="J30" i="11"/>
  <c r="J31" i="11"/>
  <c r="J32" i="11"/>
  <c r="J22" i="11"/>
  <c r="J7" i="11"/>
  <c r="J8" i="11"/>
  <c r="J9" i="11"/>
  <c r="J10" i="11"/>
  <c r="J11" i="11"/>
  <c r="J12" i="11"/>
  <c r="J13" i="11"/>
  <c r="J14" i="11"/>
  <c r="J15" i="11"/>
  <c r="J16" i="11"/>
  <c r="J6" i="11"/>
  <c r="G43" i="4"/>
  <c r="G44" i="4"/>
  <c r="O44" i="4" s="1"/>
  <c r="P265" i="1" l="1"/>
  <c r="O42" i="6"/>
  <c r="O43" i="4"/>
  <c r="S43" i="4" s="1"/>
  <c r="S44" i="4"/>
  <c r="W44" i="4"/>
  <c r="R44" i="4"/>
  <c r="V44" i="4"/>
  <c r="T44" i="4"/>
  <c r="Q44" i="4"/>
  <c r="U44" i="4"/>
  <c r="V43" i="4"/>
  <c r="T43" i="4"/>
  <c r="P44" i="4"/>
  <c r="R43" i="4"/>
  <c r="U43" i="4"/>
  <c r="W43" i="4"/>
  <c r="Q43" i="4" l="1"/>
  <c r="P43" i="4"/>
  <c r="D2" i="1" l="1"/>
  <c r="M20" i="6"/>
  <c r="M21" i="6"/>
  <c r="M22" i="6"/>
  <c r="M23" i="6"/>
  <c r="M24" i="6"/>
  <c r="M25" i="6"/>
  <c r="M26" i="6"/>
  <c r="M27" i="6"/>
  <c r="M28" i="6"/>
  <c r="M19" i="6"/>
  <c r="W272" i="1"/>
  <c r="AN260" i="1"/>
  <c r="AN261" i="1" s="1"/>
  <c r="AM260" i="1"/>
  <c r="AL260" i="1"/>
  <c r="AL261" i="1" s="1"/>
  <c r="AL262" i="1" s="1"/>
  <c r="AK263" i="1"/>
  <c r="AJ2" i="1"/>
  <c r="AI2" i="1"/>
  <c r="AH260" i="1"/>
  <c r="AG2" i="1"/>
  <c r="AF260" i="1"/>
  <c r="AE260" i="1"/>
  <c r="AE261" i="1" s="1"/>
  <c r="AD260" i="1"/>
  <c r="AC260" i="1"/>
  <c r="AC261" i="1" s="1"/>
  <c r="AB260" i="1"/>
  <c r="AB261" i="1" s="1"/>
  <c r="AA260" i="1"/>
  <c r="AA261" i="1" s="1"/>
  <c r="AA262" i="1" s="1"/>
  <c r="Z263" i="1"/>
  <c r="Z264" i="1" s="1"/>
  <c r="Z265" i="1" s="1"/>
  <c r="Y260" i="1"/>
  <c r="X263" i="1"/>
  <c r="X264" i="1" s="1"/>
  <c r="X265" i="1" s="1"/>
  <c r="U260" i="1"/>
  <c r="T260" i="1"/>
  <c r="T261" i="1" s="1"/>
  <c r="S260" i="1"/>
  <c r="R260" i="1"/>
  <c r="R261" i="1" s="1"/>
  <c r="Q263" i="1"/>
  <c r="Q264" i="1" s="1"/>
  <c r="Q265" i="1" s="1"/>
  <c r="E263" i="1"/>
  <c r="E264" i="1" s="1"/>
  <c r="E265" i="1" s="1"/>
  <c r="O263" i="1"/>
  <c r="N263" i="1"/>
  <c r="N264" i="1" s="1"/>
  <c r="N265" i="1" s="1"/>
  <c r="M263" i="1"/>
  <c r="M264" i="1" s="1"/>
  <c r="M265" i="1" s="1"/>
  <c r="L263" i="1"/>
  <c r="K263" i="1"/>
  <c r="J263" i="1"/>
  <c r="J264" i="1" s="1"/>
  <c r="J265" i="1" s="1"/>
  <c r="I263" i="1"/>
  <c r="I264" i="1" s="1"/>
  <c r="I265" i="1" s="1"/>
  <c r="H263" i="1"/>
  <c r="G263" i="1"/>
  <c r="F260" i="1"/>
  <c r="F261" i="1" s="1"/>
  <c r="W263" i="1"/>
  <c r="W264" i="1" s="1"/>
  <c r="S28" i="11" l="1"/>
  <c r="S27" i="11"/>
  <c r="S26" i="11"/>
  <c r="S25" i="11"/>
  <c r="S24" i="11"/>
  <c r="S23" i="11"/>
  <c r="S22" i="11"/>
  <c r="S20" i="11"/>
  <c r="S17" i="11"/>
  <c r="S15" i="11"/>
  <c r="S13" i="11"/>
  <c r="S11" i="11"/>
  <c r="S9" i="11"/>
  <c r="S19" i="11"/>
  <c r="S21" i="11"/>
  <c r="S18" i="11"/>
  <c r="S16" i="11"/>
  <c r="S14" i="11"/>
  <c r="S12" i="11"/>
  <c r="S10" i="11"/>
  <c r="S8" i="11"/>
  <c r="S7" i="11"/>
  <c r="S6" i="11"/>
  <c r="S5" i="11"/>
  <c r="BE9" i="10"/>
  <c r="BE13" i="10"/>
  <c r="BE21" i="10"/>
  <c r="BE25" i="10"/>
  <c r="BE10" i="10"/>
  <c r="BE11" i="10"/>
  <c r="BE15" i="10"/>
  <c r="BE27" i="10"/>
  <c r="BE12" i="10"/>
  <c r="BE24" i="10"/>
  <c r="BE14" i="10"/>
  <c r="BE22" i="10"/>
  <c r="BE26" i="10"/>
  <c r="BE7" i="10"/>
  <c r="BF7" i="10" s="1"/>
  <c r="BE19" i="10"/>
  <c r="BE23" i="10"/>
  <c r="BF23" i="10" s="1"/>
  <c r="BE8" i="10"/>
  <c r="BE16" i="10"/>
  <c r="BE20" i="10"/>
  <c r="BF20" i="10" s="1"/>
  <c r="BE28" i="10"/>
  <c r="AN9" i="10"/>
  <c r="AN13" i="10"/>
  <c r="AN21" i="10"/>
  <c r="AN25" i="10"/>
  <c r="AN10" i="10"/>
  <c r="AN14" i="10"/>
  <c r="AN22" i="10"/>
  <c r="AN26" i="10"/>
  <c r="AN7" i="10"/>
  <c r="AN11" i="10"/>
  <c r="AN15" i="10"/>
  <c r="AN19" i="10"/>
  <c r="AN23" i="10"/>
  <c r="AN27" i="10"/>
  <c r="AN8" i="10"/>
  <c r="AN12" i="10"/>
  <c r="AN16" i="10"/>
  <c r="AN20" i="10"/>
  <c r="AN24" i="10"/>
  <c r="AN28" i="10"/>
  <c r="X9" i="10"/>
  <c r="X13" i="10"/>
  <c r="X17" i="10"/>
  <c r="X21" i="10"/>
  <c r="X25" i="10"/>
  <c r="X10" i="10"/>
  <c r="X14" i="10"/>
  <c r="X22" i="10"/>
  <c r="X26" i="10"/>
  <c r="X7" i="10"/>
  <c r="X11" i="10"/>
  <c r="X15" i="10"/>
  <c r="X19" i="10"/>
  <c r="X23" i="10"/>
  <c r="X27" i="10"/>
  <c r="X8" i="10"/>
  <c r="X12" i="10"/>
  <c r="X16" i="10"/>
  <c r="X20" i="10"/>
  <c r="X24" i="10"/>
  <c r="X28" i="10"/>
  <c r="G9" i="10"/>
  <c r="G13" i="10"/>
  <c r="G17" i="10"/>
  <c r="G21" i="10"/>
  <c r="G25" i="10"/>
  <c r="G10" i="10"/>
  <c r="G14" i="10"/>
  <c r="G18" i="10"/>
  <c r="G22" i="10"/>
  <c r="G26" i="10"/>
  <c r="G16" i="10"/>
  <c r="G20" i="10"/>
  <c r="G24" i="10"/>
  <c r="G7" i="10"/>
  <c r="G11" i="10"/>
  <c r="G15" i="10"/>
  <c r="G19" i="10"/>
  <c r="G23" i="10"/>
  <c r="G27" i="10"/>
  <c r="G8" i="10"/>
  <c r="G12" i="10"/>
  <c r="G28" i="10"/>
  <c r="AG4" i="9"/>
  <c r="Y4" i="9"/>
  <c r="O4" i="9"/>
  <c r="W4" i="9"/>
  <c r="S4" i="9"/>
  <c r="F8" i="9"/>
  <c r="AE4" i="9"/>
  <c r="AA4" i="9"/>
  <c r="Q4" i="9"/>
  <c r="F13" i="9"/>
  <c r="AK4" i="9"/>
  <c r="AC4" i="9"/>
  <c r="F10" i="9"/>
  <c r="F7" i="9"/>
  <c r="AI4" i="9"/>
  <c r="U4" i="9"/>
  <c r="AF261" i="1"/>
  <c r="M4" i="9"/>
  <c r="M16" i="9" s="1"/>
  <c r="F17" i="9"/>
  <c r="F12" i="9"/>
  <c r="F15" i="9"/>
  <c r="R262" i="1"/>
  <c r="AA263" i="1"/>
  <c r="AA264" i="1" s="1"/>
  <c r="AE262" i="1"/>
  <c r="AE263" i="1" s="1"/>
  <c r="T262" i="1"/>
  <c r="T263" i="1" s="1"/>
  <c r="AC262" i="1"/>
  <c r="H264" i="1"/>
  <c r="H265" i="1" s="1"/>
  <c r="L264" i="1"/>
  <c r="L265" i="1" s="1"/>
  <c r="S261" i="1"/>
  <c r="U261" i="1"/>
  <c r="U262" i="1" s="1"/>
  <c r="AD261" i="1"/>
  <c r="G264" i="1"/>
  <c r="G265" i="1" s="1"/>
  <c r="K264" i="1"/>
  <c r="K265" i="1" s="1"/>
  <c r="O264" i="1"/>
  <c r="O265" i="1" s="1"/>
  <c r="Y261" i="1"/>
  <c r="AB262" i="1"/>
  <c r="AB263" i="1" s="1"/>
  <c r="AM261" i="1"/>
  <c r="AN262" i="1"/>
  <c r="AN263" i="1" s="1"/>
  <c r="AL263" i="1"/>
  <c r="AK264" i="1"/>
  <c r="AK265" i="1" s="1"/>
  <c r="AH261" i="1"/>
  <c r="AH262" i="1" s="1"/>
  <c r="F262" i="1"/>
  <c r="F263" i="1" s="1"/>
  <c r="W265" i="1"/>
  <c r="BF22" i="10" l="1"/>
  <c r="AE12" i="11"/>
  <c r="AE22" i="11"/>
  <c r="AE26" i="11"/>
  <c r="BF14" i="10"/>
  <c r="AE13" i="11"/>
  <c r="AE10" i="11"/>
  <c r="AE18" i="11"/>
  <c r="AE21" i="11"/>
  <c r="AE11" i="11"/>
  <c r="AE20" i="11"/>
  <c r="AE25" i="11"/>
  <c r="AE8" i="11"/>
  <c r="AE16" i="11"/>
  <c r="AE9" i="11"/>
  <c r="AE17" i="11"/>
  <c r="AE24" i="11"/>
  <c r="AE28" i="11"/>
  <c r="AE14" i="11"/>
  <c r="AE19" i="11"/>
  <c r="AE15" i="11"/>
  <c r="AE23" i="11"/>
  <c r="AE27" i="11"/>
  <c r="BF12" i="10"/>
  <c r="AE7" i="11"/>
  <c r="AE5" i="11"/>
  <c r="BF26" i="10"/>
  <c r="AE6" i="11"/>
  <c r="BF11" i="10"/>
  <c r="BF28" i="10"/>
  <c r="AO14" i="10"/>
  <c r="BF10" i="10"/>
  <c r="AO26" i="10"/>
  <c r="BF16" i="10"/>
  <c r="BE17" i="10"/>
  <c r="BF17" i="10" s="1"/>
  <c r="BF27" i="10"/>
  <c r="BF21" i="10"/>
  <c r="BF13" i="10"/>
  <c r="BF8" i="10"/>
  <c r="BF24" i="10"/>
  <c r="BF15" i="10"/>
  <c r="BF25" i="10"/>
  <c r="BF9" i="10"/>
  <c r="O42" i="4"/>
  <c r="P42" i="4" s="1"/>
  <c r="AO28" i="10"/>
  <c r="Y26" i="10"/>
  <c r="Y16" i="10"/>
  <c r="Y23" i="10"/>
  <c r="Y10" i="10"/>
  <c r="H26" i="10"/>
  <c r="Y28" i="10"/>
  <c r="Y12" i="10"/>
  <c r="Y15" i="10"/>
  <c r="Y22" i="10"/>
  <c r="Y20" i="10"/>
  <c r="Y27" i="10"/>
  <c r="Y14" i="10"/>
  <c r="Y7" i="10"/>
  <c r="Y17" i="10"/>
  <c r="H28" i="10"/>
  <c r="Y13" i="10"/>
  <c r="H14" i="10"/>
  <c r="Y24" i="10"/>
  <c r="Y8" i="10"/>
  <c r="Y25" i="10"/>
  <c r="Y9" i="10"/>
  <c r="Y11" i="10"/>
  <c r="Y21" i="10"/>
  <c r="X18" i="10"/>
  <c r="Y18" i="10" s="1"/>
  <c r="F14" i="9"/>
  <c r="AI16" i="9"/>
  <c r="AJ5" i="9"/>
  <c r="AJ16" i="9" s="1"/>
  <c r="AK16" i="9"/>
  <c r="AL5" i="9"/>
  <c r="AL16" i="9" s="1"/>
  <c r="AA16" i="9"/>
  <c r="AB5" i="9"/>
  <c r="AB16" i="9" s="1"/>
  <c r="T5" i="9"/>
  <c r="T16" i="9" s="1"/>
  <c r="S16" i="9"/>
  <c r="AH5" i="9"/>
  <c r="AH16" i="9" s="1"/>
  <c r="AG16" i="9"/>
  <c r="F11" i="9"/>
  <c r="AF262" i="1"/>
  <c r="AF263" i="1" s="1"/>
  <c r="U16" i="9"/>
  <c r="V5" i="9"/>
  <c r="V16" i="9" s="1"/>
  <c r="AC16" i="9"/>
  <c r="AD5" i="9"/>
  <c r="AD16" i="9" s="1"/>
  <c r="Q16" i="9"/>
  <c r="R5" i="9"/>
  <c r="R16" i="9" s="1"/>
  <c r="Z5" i="9"/>
  <c r="Z16" i="9" s="1"/>
  <c r="Y16" i="9"/>
  <c r="AO11" i="10"/>
  <c r="AF5" i="9"/>
  <c r="AF16" i="9" s="1"/>
  <c r="AE16" i="9"/>
  <c r="F16" i="9"/>
  <c r="X5" i="9"/>
  <c r="X16" i="9" s="1"/>
  <c r="W16" i="9"/>
  <c r="F9" i="9"/>
  <c r="O16" i="9"/>
  <c r="P5" i="9"/>
  <c r="P16" i="9" s="1"/>
  <c r="AO8" i="10"/>
  <c r="N5" i="9"/>
  <c r="N16" i="9" s="1"/>
  <c r="AO21" i="10"/>
  <c r="AO22" i="10"/>
  <c r="AO15" i="10"/>
  <c r="AO16" i="10"/>
  <c r="AO20" i="10"/>
  <c r="AO27" i="10"/>
  <c r="AO13" i="10"/>
  <c r="AO12" i="10"/>
  <c r="AO24" i="10"/>
  <c r="AO25" i="10"/>
  <c r="AO9" i="10"/>
  <c r="AO23" i="10"/>
  <c r="AO7" i="10"/>
  <c r="AO10" i="10"/>
  <c r="H22" i="10"/>
  <c r="H10" i="10"/>
  <c r="H11" i="10"/>
  <c r="H7" i="10"/>
  <c r="H23" i="10"/>
  <c r="H20" i="10"/>
  <c r="H27" i="10"/>
  <c r="H24" i="10"/>
  <c r="H25" i="10"/>
  <c r="H15" i="10"/>
  <c r="H16" i="10"/>
  <c r="H8" i="10"/>
  <c r="H21" i="10"/>
  <c r="H19" i="10"/>
  <c r="H12" i="10"/>
  <c r="H13" i="10"/>
  <c r="H9" i="10"/>
  <c r="AM262" i="1"/>
  <c r="AM263" i="1" s="1"/>
  <c r="W266" i="1"/>
  <c r="Y262" i="1"/>
  <c r="AC263" i="1"/>
  <c r="AC264" i="1" s="1"/>
  <c r="S262" i="1"/>
  <c r="AE264" i="1"/>
  <c r="AE265" i="1" s="1"/>
  <c r="R263" i="1"/>
  <c r="R264" i="1" s="1"/>
  <c r="AB264" i="1"/>
  <c r="AB265" i="1" s="1"/>
  <c r="U263" i="1"/>
  <c r="U264" i="1" s="1"/>
  <c r="AD262" i="1"/>
  <c r="AD263" i="1" s="1"/>
  <c r="T264" i="1"/>
  <c r="T265" i="1" s="1"/>
  <c r="AA265" i="1"/>
  <c r="AN264" i="1"/>
  <c r="AN265" i="1" s="1"/>
  <c r="AL264" i="1"/>
  <c r="AL265" i="1" s="1"/>
  <c r="AH263" i="1"/>
  <c r="F264" i="1"/>
  <c r="S42" i="4" l="1"/>
  <c r="W42" i="4"/>
  <c r="R42" i="4"/>
  <c r="V42" i="4"/>
  <c r="T42" i="4"/>
  <c r="Q42" i="4"/>
  <c r="U42" i="4"/>
  <c r="BE18" i="10"/>
  <c r="AN17" i="10"/>
  <c r="Y19" i="10"/>
  <c r="Y263" i="1"/>
  <c r="R265" i="1"/>
  <c r="AM264" i="1"/>
  <c r="AM265" i="1" s="1"/>
  <c r="F265" i="1"/>
  <c r="AD264" i="1"/>
  <c r="AD265" i="1" s="1"/>
  <c r="AF264" i="1"/>
  <c r="AF265" i="1" s="1"/>
  <c r="U265" i="1"/>
  <c r="S263" i="1"/>
  <c r="S264" i="1" s="1"/>
  <c r="AC265" i="1"/>
  <c r="AH264" i="1"/>
  <c r="AH265" i="1" s="1"/>
  <c r="BF18" i="10" l="1"/>
  <c r="BF19" i="10"/>
  <c r="AN18" i="10"/>
  <c r="AO19" i="10" s="1"/>
  <c r="AO17" i="10"/>
  <c r="Y264" i="1"/>
  <c r="Y265" i="1" s="1"/>
  <c r="S265" i="1"/>
  <c r="AO18" i="10" l="1"/>
  <c r="H17" i="10"/>
  <c r="H18" i="10"/>
  <c r="B223" i="9" l="1"/>
  <c r="B246" i="9"/>
  <c r="B228" i="9"/>
  <c r="B153" i="9"/>
  <c r="B135" i="9"/>
  <c r="B177" i="9"/>
  <c r="B145" i="9"/>
  <c r="B388" i="9"/>
  <c r="B248" i="9"/>
  <c r="B331" i="9"/>
  <c r="B392" i="9"/>
  <c r="B342" i="9"/>
  <c r="B173" i="9"/>
  <c r="B212" i="9"/>
  <c r="B349" i="9"/>
  <c r="B326" i="9"/>
  <c r="B371" i="9"/>
  <c r="B390" i="9"/>
  <c r="B259" i="9"/>
  <c r="B315" i="9"/>
  <c r="B252" i="9"/>
  <c r="B170" i="9"/>
  <c r="B304" i="9"/>
  <c r="B166" i="9"/>
  <c r="B205" i="9"/>
  <c r="B393" i="9"/>
  <c r="B180" i="9"/>
  <c r="B354" i="9"/>
  <c r="B370" i="9"/>
  <c r="B292" i="9"/>
  <c r="B386" i="9"/>
  <c r="B165" i="9"/>
  <c r="B182" i="9"/>
  <c r="B300" i="9"/>
  <c r="B344" i="9"/>
  <c r="B240" i="9"/>
  <c r="B216" i="9"/>
  <c r="B154" i="9"/>
  <c r="B387" i="9"/>
  <c r="B278" i="9"/>
  <c r="B396" i="9"/>
  <c r="B138" i="9"/>
  <c r="B361" i="9"/>
  <c r="B233" i="9"/>
  <c r="B374" i="9"/>
  <c r="B211" i="9"/>
  <c r="B270" i="9"/>
  <c r="B313" i="9"/>
  <c r="B249" i="9"/>
  <c r="B191" i="9"/>
  <c r="B174" i="9"/>
  <c r="B343" i="9"/>
  <c r="B323" i="9"/>
  <c r="B203" i="9"/>
  <c r="B345" i="9"/>
  <c r="B264" i="9"/>
  <c r="B334" i="9"/>
  <c r="B372" i="9"/>
  <c r="B187" i="9"/>
  <c r="B295" i="9"/>
  <c r="B220" i="9"/>
  <c r="B221" i="9"/>
  <c r="B209" i="9"/>
  <c r="B204" i="9"/>
  <c r="B146" i="9"/>
  <c r="B243" i="9"/>
  <c r="B284" i="9"/>
  <c r="B241" i="9"/>
  <c r="B161" i="9"/>
  <c r="B359" i="9"/>
  <c r="B289" i="9"/>
  <c r="B167" i="9"/>
  <c r="B265" i="9"/>
  <c r="B239" i="9"/>
  <c r="B376" i="9"/>
  <c r="B186" i="9"/>
  <c r="B235" i="9"/>
  <c r="B193" i="9"/>
  <c r="B201" i="9"/>
  <c r="B229" i="9"/>
  <c r="B362" i="9"/>
  <c r="B251" i="9"/>
  <c r="B234" i="9"/>
  <c r="B226" i="9"/>
  <c r="B298" i="9"/>
  <c r="B227" i="9"/>
  <c r="B219" i="9"/>
  <c r="B181" i="9"/>
  <c r="B379" i="9"/>
  <c r="B262" i="9"/>
  <c r="B242" i="9"/>
  <c r="B305" i="9"/>
  <c r="B366" i="9"/>
  <c r="B269" i="9"/>
  <c r="B189" i="9"/>
  <c r="B309" i="9"/>
  <c r="B348" i="9"/>
  <c r="B279" i="9"/>
  <c r="B367" i="9"/>
  <c r="B312" i="9"/>
  <c r="B288" i="9"/>
  <c r="B294" i="9"/>
  <c r="B346" i="9"/>
  <c r="B369" i="9"/>
  <c r="B321" i="9"/>
  <c r="B236" i="9"/>
  <c r="B133" i="9"/>
  <c r="B255" i="9"/>
  <c r="B215" i="9"/>
  <c r="B330" i="9"/>
  <c r="B254" i="9"/>
  <c r="B169" i="9"/>
  <c r="B194" i="9"/>
  <c r="B150" i="9"/>
  <c r="B391" i="9"/>
  <c r="B394" i="9"/>
  <c r="B258" i="9"/>
  <c r="B293" i="9"/>
  <c r="B286" i="9"/>
  <c r="B151" i="9"/>
  <c r="B377" i="9"/>
  <c r="B163" i="9"/>
  <c r="B224" i="9"/>
  <c r="B282" i="9"/>
  <c r="B162" i="9"/>
  <c r="B318" i="9"/>
  <c r="B214" i="9"/>
  <c r="B350" i="9"/>
  <c r="B324" i="9"/>
  <c r="B218" i="9"/>
  <c r="B196" i="9"/>
  <c r="B202" i="9"/>
  <c r="B271" i="9"/>
  <c r="B340" i="9"/>
  <c r="B148" i="9"/>
  <c r="B276" i="9"/>
  <c r="B397" i="9"/>
  <c r="B317" i="9"/>
  <c r="B332" i="9"/>
  <c r="B172" i="9"/>
  <c r="B296" i="9"/>
  <c r="B198" i="9"/>
  <c r="B357" i="9"/>
  <c r="B244" i="9"/>
  <c r="B301" i="9"/>
  <c r="B335" i="9"/>
  <c r="B360" i="9"/>
  <c r="B310" i="9"/>
  <c r="B260" i="9"/>
  <c r="B213" i="9"/>
  <c r="B395" i="9"/>
  <c r="B156" i="9"/>
  <c r="B178" i="9"/>
  <c r="B358" i="9"/>
  <c r="B263" i="9"/>
  <c r="B351" i="9"/>
  <c r="B308" i="9"/>
  <c r="B382" i="9"/>
  <c r="B368" i="9"/>
  <c r="B188" i="9"/>
  <c r="B256" i="9"/>
  <c r="B176" i="9"/>
  <c r="B337" i="9"/>
  <c r="B175" i="9"/>
  <c r="B363" i="9"/>
  <c r="B287" i="9"/>
  <c r="B333" i="9"/>
  <c r="B297" i="9"/>
  <c r="B274" i="9"/>
  <c r="B210" i="9"/>
  <c r="B199" i="9"/>
  <c r="B281" i="9"/>
  <c r="B149" i="9"/>
  <c r="B302" i="9"/>
  <c r="B389" i="9"/>
  <c r="B143" i="9"/>
  <c r="B179" i="9"/>
  <c r="B347" i="9"/>
  <c r="B266" i="9"/>
  <c r="B336" i="9"/>
  <c r="B253" i="9"/>
  <c r="B160" i="9"/>
  <c r="B164" i="9"/>
  <c r="B152" i="9"/>
  <c r="B195" i="9"/>
  <c r="B217" i="9"/>
  <c r="B314" i="9"/>
  <c r="B381" i="9"/>
  <c r="B144" i="9"/>
  <c r="B277" i="9"/>
  <c r="B142" i="9"/>
  <c r="B185" i="9"/>
  <c r="B328" i="9"/>
  <c r="B341" i="9"/>
  <c r="B378" i="9"/>
  <c r="B283" i="9"/>
  <c r="B285" i="9"/>
  <c r="B273" i="9"/>
  <c r="B147" i="9"/>
  <c r="B232" i="9"/>
  <c r="B356" i="9"/>
  <c r="B245" i="9"/>
  <c r="B280" i="9"/>
  <c r="B230" i="9"/>
  <c r="B299" i="9"/>
  <c r="B320" i="9"/>
  <c r="B267" i="9"/>
  <c r="B157" i="9"/>
  <c r="B383" i="9"/>
  <c r="B353" i="9"/>
  <c r="B206" i="9"/>
  <c r="B319" i="9"/>
  <c r="B134" i="9"/>
  <c r="B207" i="9"/>
  <c r="B257" i="9"/>
  <c r="B184" i="9"/>
  <c r="B272" i="9"/>
  <c r="B352" i="9"/>
  <c r="B290" i="9"/>
  <c r="B140" i="9"/>
  <c r="B384" i="9"/>
  <c r="B303" i="9"/>
  <c r="B136" i="9"/>
  <c r="B171" i="9"/>
  <c r="B316" i="9"/>
  <c r="B373" i="9"/>
  <c r="B291" i="9"/>
  <c r="B222" i="9"/>
  <c r="B155" i="9"/>
  <c r="B355" i="9"/>
  <c r="B250" i="9"/>
  <c r="B322" i="9"/>
  <c r="B168" i="9"/>
  <c r="B225" i="9"/>
  <c r="B158" i="9"/>
  <c r="B339" i="9"/>
  <c r="B338" i="9"/>
  <c r="B183" i="9"/>
  <c r="B268" i="9"/>
  <c r="B325" i="9"/>
  <c r="B141" i="9"/>
  <c r="B159" i="9"/>
  <c r="B192" i="9"/>
  <c r="B329" i="9"/>
  <c r="B327" i="9"/>
  <c r="B275" i="9"/>
  <c r="B197" i="9"/>
  <c r="B375" i="9"/>
  <c r="B237" i="9"/>
  <c r="B306" i="9"/>
  <c r="B208" i="9"/>
  <c r="B190" i="9"/>
  <c r="B380" i="9"/>
  <c r="B399" i="9"/>
  <c r="B364" i="9"/>
  <c r="B238" i="9"/>
  <c r="B398" i="9"/>
  <c r="B261" i="9"/>
  <c r="B137" i="9"/>
  <c r="B200" i="9"/>
  <c r="B311" i="9"/>
  <c r="B365" i="9"/>
  <c r="B139" i="9"/>
  <c r="B247" i="9"/>
  <c r="B307" i="9"/>
  <c r="B231" i="9"/>
  <c r="B385" i="9"/>
</calcChain>
</file>

<file path=xl/sharedStrings.xml><?xml version="1.0" encoding="utf-8"?>
<sst xmlns="http://schemas.openxmlformats.org/spreadsheetml/2006/main" count="1633" uniqueCount="253">
  <si>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</si>
  <si>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</si>
  <si>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</si>
  <si>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</si>
  <si>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</si>
  <si>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</si>
  <si>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</si>
  <si>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</si>
  <si>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</si>
  <si>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</si>
  <si>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</si>
  <si>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</si>
  <si>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</si>
  <si>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</si>
  <si>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</si>
  <si>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</si>
  <si>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</si>
  <si>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</si>
  <si>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</si>
  <si>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</si>
  <si>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</si>
  <si>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</si>
  <si>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</si>
  <si>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</si>
  <si>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</si>
  <si>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</si>
  <si>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</si>
  <si>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</si>
  <si>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</si>
  <si>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</si>
  <si>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</si>
  <si>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</si>
  <si>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Urban</t>
  </si>
  <si>
    <t>Rural+Urban</t>
  </si>
  <si>
    <t>February</t>
  </si>
  <si>
    <t>March</t>
  </si>
  <si>
    <t>April</t>
  </si>
  <si>
    <t>May</t>
  </si>
  <si>
    <t>June</t>
  </si>
  <si>
    <t>July</t>
  </si>
  <si>
    <t>August</t>
  </si>
  <si>
    <t>September</t>
  </si>
  <si>
    <t>October</t>
  </si>
  <si>
    <t xml:space="preserve">November </t>
  </si>
  <si>
    <t>November</t>
  </si>
  <si>
    <t>December</t>
  </si>
  <si>
    <t>Marcrh</t>
  </si>
  <si>
    <t>NA</t>
  </si>
  <si>
    <t>-</t>
  </si>
  <si>
    <t>Housing Updated</t>
  </si>
  <si>
    <t>Food category</t>
  </si>
  <si>
    <t>Tobacco category</t>
  </si>
  <si>
    <t>Clothing category</t>
  </si>
  <si>
    <t>Health category</t>
  </si>
  <si>
    <t>Transport category</t>
  </si>
  <si>
    <t>Recreation &amp; amusement cat</t>
  </si>
  <si>
    <t>Education cat</t>
  </si>
  <si>
    <t>Row Labels</t>
  </si>
  <si>
    <t>Grand Total</t>
  </si>
  <si>
    <t>Sum of Food category</t>
  </si>
  <si>
    <t>Sum of Tobacco category</t>
  </si>
  <si>
    <t>Sum of Clothing category</t>
  </si>
  <si>
    <t>Sum of Health category</t>
  </si>
  <si>
    <t>Sum of Transport category</t>
  </si>
  <si>
    <t>Sum of Recreation &amp; amusement cat</t>
  </si>
  <si>
    <t>Sum of Education cat</t>
  </si>
  <si>
    <t>Housing categpry</t>
  </si>
  <si>
    <t>Sum of Housing categpry</t>
  </si>
  <si>
    <t>Total</t>
  </si>
  <si>
    <t>% of Food category</t>
  </si>
  <si>
    <t>% of Education cat</t>
  </si>
  <si>
    <t>% of Housing categpry</t>
  </si>
  <si>
    <t>Sum of General index</t>
  </si>
  <si>
    <t>Inflation</t>
  </si>
  <si>
    <t>Rural + Urban</t>
  </si>
  <si>
    <t>Year with Month</t>
  </si>
  <si>
    <t>2022 August</t>
  </si>
  <si>
    <t>2022 December</t>
  </si>
  <si>
    <t>2022 July</t>
  </si>
  <si>
    <t>2022 June</t>
  </si>
  <si>
    <t>2022 May</t>
  </si>
  <si>
    <t>2022 November</t>
  </si>
  <si>
    <t>2022 October</t>
  </si>
  <si>
    <t>2022 September</t>
  </si>
  <si>
    <t>2023 April</t>
  </si>
  <si>
    <t>2023 February</t>
  </si>
  <si>
    <t>2023 January</t>
  </si>
  <si>
    <t>2023 March</t>
  </si>
  <si>
    <t>2023 May</t>
  </si>
  <si>
    <t>Month with year</t>
  </si>
  <si>
    <t>Sum of Cereals and products</t>
  </si>
  <si>
    <t>Sum of Meat and fish</t>
  </si>
  <si>
    <t>Sum of Egg</t>
  </si>
  <si>
    <t>Sum of Milk and products</t>
  </si>
  <si>
    <t>Sum of Oils and fats</t>
  </si>
  <si>
    <t>Sum of Fruits</t>
  </si>
  <si>
    <t>Sum of Vegetables</t>
  </si>
  <si>
    <t>Sum of Pulses and products</t>
  </si>
  <si>
    <t>Sum of Sugar and Confectionery</t>
  </si>
  <si>
    <t>Sum of Spices</t>
  </si>
  <si>
    <t>Sum of Non-alcoholic beverages</t>
  </si>
  <si>
    <t>Sum of Prepared meals, snacks, sweets etc.</t>
  </si>
  <si>
    <t>Sum of Food and beverages</t>
  </si>
  <si>
    <t>June 2022-May 2023</t>
  </si>
  <si>
    <t xml:space="preserve">2023 January </t>
  </si>
  <si>
    <t xml:space="preserve">2023 March </t>
  </si>
  <si>
    <t xml:space="preserve">Highest </t>
  </si>
  <si>
    <t>Lowest</t>
  </si>
  <si>
    <t>MoM Inflation</t>
  </si>
  <si>
    <t>2013 April</t>
  </si>
  <si>
    <t>2013 August</t>
  </si>
  <si>
    <t>2013 December</t>
  </si>
  <si>
    <t>2013 February</t>
  </si>
  <si>
    <t>2013 January</t>
  </si>
  <si>
    <t>2013 July</t>
  </si>
  <si>
    <t>2013 June</t>
  </si>
  <si>
    <t>2013 March</t>
  </si>
  <si>
    <t>2013 May</t>
  </si>
  <si>
    <t>2013 November</t>
  </si>
  <si>
    <t xml:space="preserve">2013 November </t>
  </si>
  <si>
    <t>2013 October</t>
  </si>
  <si>
    <t>2013 September</t>
  </si>
  <si>
    <t>2014 April</t>
  </si>
  <si>
    <t>2014 August</t>
  </si>
  <si>
    <t>2014 December</t>
  </si>
  <si>
    <t>2014 February</t>
  </si>
  <si>
    <t>2014 January</t>
  </si>
  <si>
    <t>2014 July</t>
  </si>
  <si>
    <t>2014 June</t>
  </si>
  <si>
    <t>2014 March</t>
  </si>
  <si>
    <t>2014 Marcrh</t>
  </si>
  <si>
    <t>2014 May</t>
  </si>
  <si>
    <t>2014 November</t>
  </si>
  <si>
    <t>2014 October</t>
  </si>
  <si>
    <t>2014 September</t>
  </si>
  <si>
    <t>2015 April</t>
  </si>
  <si>
    <t>2015 August</t>
  </si>
  <si>
    <t>2015 December</t>
  </si>
  <si>
    <t>2015 February</t>
  </si>
  <si>
    <t>2015 January</t>
  </si>
  <si>
    <t>2015 July</t>
  </si>
  <si>
    <t>2015 June</t>
  </si>
  <si>
    <t>2015 March</t>
  </si>
  <si>
    <t>2015 May</t>
  </si>
  <si>
    <t>2015 November</t>
  </si>
  <si>
    <t>2015 October</t>
  </si>
  <si>
    <t>2015 September</t>
  </si>
  <si>
    <t>2016 April</t>
  </si>
  <si>
    <t>2016 August</t>
  </si>
  <si>
    <t>2016 December</t>
  </si>
  <si>
    <t>2016 February</t>
  </si>
  <si>
    <t>2016 January</t>
  </si>
  <si>
    <t>2016 July</t>
  </si>
  <si>
    <t>2016 June</t>
  </si>
  <si>
    <t>2016 March</t>
  </si>
  <si>
    <t>2016 May</t>
  </si>
  <si>
    <t>2016 November</t>
  </si>
  <si>
    <t>2016 October</t>
  </si>
  <si>
    <t>2016 September</t>
  </si>
  <si>
    <t>2017 April</t>
  </si>
  <si>
    <t>2017 August</t>
  </si>
  <si>
    <t>2017 December</t>
  </si>
  <si>
    <t>2017 February</t>
  </si>
  <si>
    <t>2017 January</t>
  </si>
  <si>
    <t>2017 July</t>
  </si>
  <si>
    <t>2017 June</t>
  </si>
  <si>
    <t>2017 March</t>
  </si>
  <si>
    <t>2017 May</t>
  </si>
  <si>
    <t>2017 November</t>
  </si>
  <si>
    <t>2017 October</t>
  </si>
  <si>
    <t>2017 September</t>
  </si>
  <si>
    <t>2018 April</t>
  </si>
  <si>
    <t>2018 August</t>
  </si>
  <si>
    <t>2018 December</t>
  </si>
  <si>
    <t>2018 February</t>
  </si>
  <si>
    <t>2018 January</t>
  </si>
  <si>
    <t>2018 July</t>
  </si>
  <si>
    <t>2018 June</t>
  </si>
  <si>
    <t>2018 March</t>
  </si>
  <si>
    <t>2018 May</t>
  </si>
  <si>
    <t>2018 November</t>
  </si>
  <si>
    <t>2018 October</t>
  </si>
  <si>
    <t>2018 September</t>
  </si>
  <si>
    <t>2019 August</t>
  </si>
  <si>
    <t>2019 December</t>
  </si>
  <si>
    <t>2019 February</t>
  </si>
  <si>
    <t>2019 January</t>
  </si>
  <si>
    <t>2019 July</t>
  </si>
  <si>
    <t>2019 June</t>
  </si>
  <si>
    <t>2019 March</t>
  </si>
  <si>
    <t>2019 May</t>
  </si>
  <si>
    <t>2019 November</t>
  </si>
  <si>
    <t>2019 October</t>
  </si>
  <si>
    <t>2019 September</t>
  </si>
  <si>
    <t>2020 April</t>
  </si>
  <si>
    <t>2020 August</t>
  </si>
  <si>
    <t>2020 December</t>
  </si>
  <si>
    <t>2020 February</t>
  </si>
  <si>
    <t>2020 January</t>
  </si>
  <si>
    <t>2020 July</t>
  </si>
  <si>
    <t>2020 June</t>
  </si>
  <si>
    <t>2020 March</t>
  </si>
  <si>
    <t>2020 May</t>
  </si>
  <si>
    <t>2020 November</t>
  </si>
  <si>
    <t>2020 October</t>
  </si>
  <si>
    <t>2020 September</t>
  </si>
  <si>
    <t>2021 April</t>
  </si>
  <si>
    <t>2021 August</t>
  </si>
  <si>
    <t>2021 December</t>
  </si>
  <si>
    <t>2021 February</t>
  </si>
  <si>
    <t>2021 January</t>
  </si>
  <si>
    <t>2021 July</t>
  </si>
  <si>
    <t>2021 June</t>
  </si>
  <si>
    <t>2021 March</t>
  </si>
  <si>
    <t>2021 May</t>
  </si>
  <si>
    <t>2021 November</t>
  </si>
  <si>
    <t>2021 October</t>
  </si>
  <si>
    <t>2021 September</t>
  </si>
  <si>
    <t>2022 April</t>
  </si>
  <si>
    <t>2022 February</t>
  </si>
  <si>
    <t>2022 January</t>
  </si>
  <si>
    <t>2022 March</t>
  </si>
  <si>
    <t xml:space="preserve">2019 March </t>
  </si>
  <si>
    <t>Total of Food category</t>
  </si>
  <si>
    <t>MOM</t>
  </si>
  <si>
    <t>Sum of R&amp;A category</t>
  </si>
  <si>
    <t xml:space="preserve"> </t>
  </si>
  <si>
    <t>% of Recreation &amp; amusement cat</t>
  </si>
  <si>
    <t>% of Transport category</t>
  </si>
  <si>
    <t>% of Health category</t>
  </si>
  <si>
    <t>% of Clothing category</t>
  </si>
  <si>
    <t>% of Tobacco category</t>
  </si>
  <si>
    <t>Sum of Education category</t>
  </si>
  <si>
    <t>Category</t>
  </si>
  <si>
    <t>Crude Oil</t>
  </si>
  <si>
    <t xml:space="preserve">2021 May </t>
  </si>
  <si>
    <t xml:space="preserve">2021 July </t>
  </si>
  <si>
    <t xml:space="preserve">2021 September </t>
  </si>
  <si>
    <t xml:space="preserve">2022 January </t>
  </si>
  <si>
    <t xml:space="preserve">2022 February </t>
  </si>
  <si>
    <t>Cruid Oil Price</t>
  </si>
  <si>
    <t xml:space="preserve">2022 May </t>
  </si>
  <si>
    <t xml:space="preserve">2022 July </t>
  </si>
  <si>
    <t xml:space="preserve">2022 September </t>
  </si>
  <si>
    <t xml:space="preserve">2023 February </t>
  </si>
  <si>
    <t>Fluctuation</t>
  </si>
  <si>
    <t>2022-2023</t>
  </si>
  <si>
    <t>Correlation</t>
  </si>
  <si>
    <t>2021-2022</t>
  </si>
  <si>
    <t xml:space="preserve">Sum of Food category </t>
  </si>
  <si>
    <t>YOY Inflation</t>
  </si>
  <si>
    <t>Housing category</t>
  </si>
  <si>
    <t>Broader Categories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</si>
</sst>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0.0"/>
    <numFmt numFmtId="165" formatCode="_ * #,##0.0_ ;_ * \-#,##0.0_ ;_ * &quot;-&quot;??_ ;_ @_ "/>
  </numFmts>
  <fonts count="26"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i/>
      <sz val="18"/>
      <color theme="1"/>
      <name val="Calibri"/>
      <family val="2"/>
      <scheme val="minor"/>
    </font>
    <font>
      <sz val="8"/>
      <name val="Calibri"/>
      <family val="2"/>
      <scheme val="minor"/>
    </font>
    <font>
      <sz val="12"/>
      <name val="Arial"/>
      <family val="2"/>
    </font>
    <font>
      <sz val="8"/>
      <name val="Arial"/>
      <family val="2"/>
    </font>
    <font>
      <sz val="11"/>
      <color theme="1"/>
      <name val="Times New Roman"/>
      <family val="1"/>
    </font>
    <font>
      <b/>
      <sz val="11"/>
      <color theme="1"/>
      <name val="Times New Roman"/>
      <family val="1"/>
    </font>
    <font>
      <b/>
      <sz val="11"/>
      <color rgb="FFFF0000"/>
      <name val="Calibri"/>
      <family val="2"/>
      <scheme val="minor"/>
    </font>
    <font>
      <b/>
      <sz val="14"/>
      <color theme="1"/>
      <name val="Calibri"/>
      <family val="2"/>
      <scheme val="minor"/>
    </font>
  </fonts>
  <fills count="5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5" tint="0.39997558519241921"/>
        <bgColor indexed="64"/>
      </patternFill>
    </fill>
    <fill>
      <patternFill patternType="solid">
        <fgColor rgb="FF00B0F0"/>
        <bgColor indexed="64"/>
      </patternFill>
    </fill>
    <fill>
      <patternFill patternType="solid">
        <fgColor theme="4" tint="0.79998168889431442"/>
        <bgColor theme="4" tint="0.79998168889431442"/>
      </patternFill>
    </fill>
    <fill>
      <patternFill patternType="solid">
        <fgColor theme="5" tint="0.39997558519241921"/>
        <bgColor theme="4" tint="0.79998168889431442"/>
      </patternFill>
    </fill>
    <fill>
      <patternFill patternType="solid">
        <fgColor theme="0"/>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4" tint="0.59999389629810485"/>
        <bgColor theme="4" tint="0.79998168889431442"/>
      </patternFill>
    </fill>
    <fill>
      <patternFill patternType="solid">
        <fgColor theme="7" tint="0.39997558519241921"/>
        <bgColor indexed="64"/>
      </patternFill>
    </fill>
    <fill>
      <patternFill patternType="solid">
        <fgColor theme="7" tint="0.59999389629810485"/>
        <bgColor indexed="64"/>
      </patternFill>
    </fill>
    <fill>
      <patternFill patternType="solid">
        <fgColor theme="5" tint="0.79998168889431442"/>
        <bgColor indexed="64"/>
      </patternFill>
    </fill>
    <fill>
      <patternFill patternType="solid">
        <fgColor theme="2"/>
        <bgColor indexed="64"/>
      </patternFill>
    </fill>
    <fill>
      <patternFill patternType="solid">
        <fgColor theme="2" tint="-9.9978637043366805E-2"/>
        <bgColor indexed="64"/>
      </patternFill>
    </fill>
    <fill>
      <patternFill patternType="solid">
        <fgColor theme="8"/>
        <bgColor indexed="64"/>
      </patternFill>
    </fill>
    <fill>
      <patternFill patternType="solid">
        <fgColor rgb="FFFFC000"/>
        <bgColor theme="4" tint="0.79998168889431442"/>
      </patternFill>
    </fill>
    <fill>
      <patternFill patternType="solid">
        <fgColor rgb="FFFFC000"/>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0" fontId="20" fillId="0" borderId="0"/>
    <xf numFmtId="0" fontId="21" fillId="0" borderId="0"/>
  </cellStyleXfs>
  <cellXfs count="56">
    <xf numFmtId="0" fontId="0" fillId="0" borderId="0" xfId="0"/>
    <xf numFmtId="0" fontId="16" fillId="33" borderId="0" xfId="0" applyFont="1" applyFill="1"/>
    <xf numFmtId="164" fontId="0" fillId="0" borderId="0" xfId="0" applyNumberFormat="1"/>
    <xf numFmtId="2" fontId="0" fillId="0" borderId="0" xfId="0" applyNumberFormat="1"/>
    <xf numFmtId="164" fontId="0" fillId="34" borderId="0" xfId="0" applyNumberFormat="1" applyFill="1"/>
    <xf numFmtId="0" fontId="0" fillId="34" borderId="0" xfId="0" applyFill="1"/>
    <xf numFmtId="2" fontId="0" fillId="34" borderId="0" xfId="0" applyNumberFormat="1" applyFill="1"/>
    <xf numFmtId="0" fontId="16" fillId="35" borderId="0" xfId="0" applyFont="1" applyFill="1"/>
    <xf numFmtId="0" fontId="0" fillId="0" borderId="0" xfId="0" pivotButton="1"/>
    <xf numFmtId="0" fontId="0" fillId="0" borderId="0" xfId="0" applyAlignment="1">
      <alignment horizontal="left"/>
    </xf>
    <xf numFmtId="10" fontId="0" fillId="0" borderId="0" xfId="0" applyNumberFormat="1"/>
    <xf numFmtId="0" fontId="16" fillId="37" borderId="10" xfId="0" applyFont="1" applyFill="1" applyBorder="1"/>
    <xf numFmtId="0" fontId="16" fillId="36" borderId="0" xfId="0" applyFont="1" applyFill="1" applyAlignment="1">
      <alignment horizontal="left"/>
    </xf>
    <xf numFmtId="0" fontId="16" fillId="36" borderId="0" xfId="0" applyFont="1" applyFill="1"/>
    <xf numFmtId="0" fontId="16" fillId="36" borderId="11" xfId="0" applyFont="1" applyFill="1" applyBorder="1"/>
    <xf numFmtId="0" fontId="16" fillId="37" borderId="11" xfId="0" applyFont="1" applyFill="1" applyBorder="1"/>
    <xf numFmtId="0" fontId="0" fillId="0" borderId="11" xfId="0" applyBorder="1" applyAlignment="1">
      <alignment horizontal="left"/>
    </xf>
    <xf numFmtId="0" fontId="0" fillId="0" borderId="11" xfId="0" applyBorder="1"/>
    <xf numFmtId="10" fontId="0" fillId="0" borderId="11" xfId="0" applyNumberFormat="1" applyBorder="1"/>
    <xf numFmtId="2" fontId="16" fillId="36" borderId="0" xfId="0" applyNumberFormat="1" applyFont="1" applyFill="1"/>
    <xf numFmtId="0" fontId="16" fillId="34" borderId="11" xfId="0" applyFont="1" applyFill="1" applyBorder="1"/>
    <xf numFmtId="0" fontId="16" fillId="0" borderId="0" xfId="0" applyFont="1"/>
    <xf numFmtId="0" fontId="16" fillId="0" borderId="11" xfId="0" applyFont="1" applyBorder="1"/>
    <xf numFmtId="0" fontId="0" fillId="38" borderId="11" xfId="0" applyFill="1" applyBorder="1"/>
    <xf numFmtId="0" fontId="16" fillId="39" borderId="11" xfId="0" applyFont="1" applyFill="1" applyBorder="1"/>
    <xf numFmtId="164" fontId="0" fillId="0" borderId="11" xfId="0" applyNumberFormat="1" applyBorder="1"/>
    <xf numFmtId="0" fontId="16" fillId="41" borderId="11" xfId="0" applyFont="1" applyFill="1" applyBorder="1"/>
    <xf numFmtId="0" fontId="16" fillId="40" borderId="11" xfId="0" applyFont="1" applyFill="1" applyBorder="1"/>
    <xf numFmtId="0" fontId="0" fillId="42" borderId="11" xfId="0" applyFill="1" applyBorder="1"/>
    <xf numFmtId="0" fontId="0" fillId="43" borderId="0" xfId="0" applyFill="1"/>
    <xf numFmtId="0" fontId="0" fillId="44" borderId="11" xfId="0" applyFill="1" applyBorder="1"/>
    <xf numFmtId="2" fontId="0" fillId="0" borderId="11" xfId="0" applyNumberFormat="1" applyBorder="1"/>
    <xf numFmtId="0" fontId="0" fillId="35" borderId="11" xfId="0" applyFill="1" applyBorder="1"/>
    <xf numFmtId="1" fontId="22" fillId="38" borderId="11" xfId="44" applyNumberFormat="1" applyFont="1" applyFill="1" applyBorder="1" applyAlignment="1">
      <alignment horizontal="right"/>
    </xf>
    <xf numFmtId="1" fontId="22" fillId="38" borderId="12" xfId="44" applyNumberFormat="1" applyFont="1" applyFill="1" applyBorder="1" applyAlignment="1">
      <alignment horizontal="right"/>
    </xf>
    <xf numFmtId="1" fontId="22" fillId="38" borderId="13" xfId="44" applyNumberFormat="1" applyFont="1" applyFill="1" applyBorder="1" applyAlignment="1">
      <alignment horizontal="right"/>
    </xf>
    <xf numFmtId="0" fontId="16" fillId="35" borderId="11" xfId="0" applyFont="1" applyFill="1" applyBorder="1"/>
    <xf numFmtId="1" fontId="23" fillId="35" borderId="11" xfId="44" applyNumberFormat="1" applyFont="1" applyFill="1" applyBorder="1" applyAlignment="1">
      <alignment horizontal="right"/>
    </xf>
    <xf numFmtId="165" fontId="22" fillId="38" borderId="11" xfId="42" applyNumberFormat="1" applyFont="1" applyFill="1" applyBorder="1" applyAlignment="1">
      <alignment horizontal="right"/>
    </xf>
    <xf numFmtId="0" fontId="16" fillId="33" borderId="14" xfId="0" applyFont="1" applyFill="1" applyBorder="1"/>
    <xf numFmtId="0" fontId="16" fillId="33" borderId="11" xfId="0" applyFont="1" applyFill="1" applyBorder="1"/>
    <xf numFmtId="0" fontId="24" fillId="0" borderId="11" xfId="0" applyFont="1" applyBorder="1"/>
    <xf numFmtId="0" fontId="18" fillId="0" borderId="11" xfId="0" applyFont="1" applyBorder="1"/>
    <xf numFmtId="164" fontId="0" fillId="45" borderId="11" xfId="0" applyNumberFormat="1" applyFill="1" applyBorder="1"/>
    <xf numFmtId="164" fontId="0" fillId="46" borderId="11" xfId="0" applyNumberFormat="1" applyFill="1" applyBorder="1"/>
    <xf numFmtId="0" fontId="0" fillId="39" borderId="11" xfId="0" applyFill="1" applyBorder="1"/>
    <xf numFmtId="164" fontId="0" fillId="39" borderId="11" xfId="0" applyNumberFormat="1" applyFill="1" applyBorder="1"/>
    <xf numFmtId="10" fontId="0" fillId="39" borderId="11" xfId="0" applyNumberFormat="1" applyFill="1" applyBorder="1"/>
    <xf numFmtId="164" fontId="0" fillId="47" borderId="11" xfId="0" applyNumberFormat="1" applyFill="1" applyBorder="1"/>
    <xf numFmtId="0" fontId="16" fillId="48" borderId="11" xfId="0" applyFont="1" applyFill="1" applyBorder="1"/>
    <xf numFmtId="0" fontId="16" fillId="49" borderId="11" xfId="0" applyFont="1" applyFill="1" applyBorder="1" applyAlignment="1">
      <alignment horizontal="left"/>
    </xf>
    <xf numFmtId="0" fontId="16" fillId="0" borderId="11" xfId="0" applyFont="1" applyBorder="1" applyAlignment="1">
      <alignment horizontal="left"/>
    </xf>
    <xf numFmtId="10" fontId="16" fillId="40" borderId="11" xfId="0" applyNumberFormat="1" applyFont="1" applyFill="1" applyBorder="1"/>
    <xf numFmtId="0" fontId="18" fillId="0" borderId="11" xfId="0" applyFont="1" applyBorder="1" applyAlignment="1">
      <alignment horizontal="center"/>
    </xf>
    <xf numFmtId="0" fontId="25" fillId="35" borderId="11" xfId="0" applyFont="1" applyFill="1" applyBorder="1" applyAlignment="1">
      <alignment horizontal="center"/>
    </xf>
    <xf numFmtId="0" fontId="16" fillId="39" borderId="11" xfId="0" applyFont="1" applyFill="1" applyBorder="1" applyAlignment="1">
      <alignment horizontal="center"/>
    </xf>
  </cellXfs>
  <cellStyles count="45">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2 3 5" xfId="44" xr:uid="{BBFB92DC-BF91-40F3-951D-D18F218C3EBC}"/>
    <cellStyle name="Normal 259" xfId="43" xr:uid="{821A0C2C-7313-4CBE-A639-D781DB3D5697}"/>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 Case study-Manisha Manna - Final-12.09.2025.xlsx]ana-1!PivotTable1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Contribution of broader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'ana-1'!$F$7</c:f>
              <c:strCache>
                <c:ptCount val="1"/>
                <c:pt idx="0">
                  <c:v>Sum of Food category</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'ana-1'!$E$8:$E$11</c:f>
              <c:strCache>
                <c:ptCount val="3"/>
                <c:pt idx="0">
                  <c:v>Rural</c:v>
                </c:pt>
                <c:pt idx="1">
                  <c:v>Rural+Urban</c:v>
                </c:pt>
                <c:pt idx="2">
                  <c:v>Urban</c:v>
                </c:pt>
              </c:strCache>
            </c:strRef>
          </c:cat>
          <c:val>
            <c:numRef>
              <c:f>'ana-1'!$F$8:$F$11</c:f>
              <c:numCache>
                <c:formatCode>General</c:formatCode>
                <c:ptCount val="3"/>
                <c:pt idx="0">
                  <c:v>2290.7000000000007</c:v>
                </c:pt>
                <c:pt idx="1">
                  <c:v>2306.9</c:v>
                </c:pt>
                <c:pt idx="2">
                  <c:v>2335.1</c:v>
                </c:pt>
              </c:numCache>
            </c:numRef>
          </c:val>
          <c:extLst>
            <c:ext xmlns:c16="http://schemas.microsoft.com/office/drawing/2014/chart" uri="{C3380CC4-5D6E-409C-BE32-E72D297353CC}">
              <c16:uniqueId val="{00000000-BA99-4FAE-88E0-C9149000E909}"/>
            </c:ext>
          </c:extLst>
        </c:ser>
        <c:ser>
          <c:idx val="1"/>
          <c:order val="1"/>
          <c:tx>
            <c:strRef>
              <c:f>'ana-1'!$G$7</c:f>
              <c:strCache>
                <c:ptCount val="1"/>
                <c:pt idx="0">
                  <c:v>Sum of Education cat</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'ana-1'!$E$8:$E$11</c:f>
              <c:strCache>
                <c:ptCount val="3"/>
                <c:pt idx="0">
                  <c:v>Rural</c:v>
                </c:pt>
                <c:pt idx="1">
                  <c:v>Rural+Urban</c:v>
                </c:pt>
                <c:pt idx="2">
                  <c:v>Urban</c:v>
                </c:pt>
              </c:strCache>
            </c:strRef>
          </c:cat>
          <c:val>
            <c:numRef>
              <c:f>'ana-1'!$G$8:$G$11</c:f>
              <c:numCache>
                <c:formatCode>General</c:formatCode>
                <c:ptCount val="3"/>
                <c:pt idx="0">
                  <c:v>180.3</c:v>
                </c:pt>
                <c:pt idx="1">
                  <c:v>177.1</c:v>
                </c:pt>
                <c:pt idx="2">
                  <c:v>174.8</c:v>
                </c:pt>
              </c:numCache>
            </c:numRef>
          </c:val>
          <c:extLst>
            <c:ext xmlns:c16="http://schemas.microsoft.com/office/drawing/2014/chart" uri="{C3380CC4-5D6E-409C-BE32-E72D297353CC}">
              <c16:uniqueId val="{00000001-BA99-4FAE-88E0-C9149000E909}"/>
            </c:ext>
          </c:extLst>
        </c:ser>
        <c:ser>
          <c:idx val="2"/>
          <c:order val="2"/>
          <c:tx>
            <c:strRef>
              <c:f>'ana-1'!$H$7</c:f>
              <c:strCache>
                <c:ptCount val="1"/>
                <c:pt idx="0">
                  <c:v>Sum of Recreation &amp; amusement cat</c:v>
                </c:pt>
              </c:strCache>
            </c:strRef>
          </c:tx>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invertIfNegative val="0"/>
          <c:cat>
            <c:strRef>
              <c:f>'ana-1'!$E$8:$E$11</c:f>
              <c:strCache>
                <c:ptCount val="3"/>
                <c:pt idx="0">
                  <c:v>Rural</c:v>
                </c:pt>
                <c:pt idx="1">
                  <c:v>Rural+Urban</c:v>
                </c:pt>
                <c:pt idx="2">
                  <c:v>Urban</c:v>
                </c:pt>
              </c:strCache>
            </c:strRef>
          </c:cat>
          <c:val>
            <c:numRef>
              <c:f>'ana-1'!$H$8:$H$11</c:f>
              <c:numCache>
                <c:formatCode>General</c:formatCode>
                <c:ptCount val="3"/>
                <c:pt idx="0">
                  <c:v>173.8</c:v>
                </c:pt>
                <c:pt idx="1">
                  <c:v>171.2</c:v>
                </c:pt>
                <c:pt idx="2">
                  <c:v>169.2</c:v>
                </c:pt>
              </c:numCache>
            </c:numRef>
          </c:val>
          <c:extLst>
            <c:ext xmlns:c16="http://schemas.microsoft.com/office/drawing/2014/chart" uri="{C3380CC4-5D6E-409C-BE32-E72D297353CC}">
              <c16:uniqueId val="{00000002-BA99-4FAE-88E0-C9149000E909}"/>
            </c:ext>
          </c:extLst>
        </c:ser>
        <c:ser>
          <c:idx val="3"/>
          <c:order val="3"/>
          <c:tx>
            <c:strRef>
              <c:f>'ana-1'!$I$7</c:f>
              <c:strCache>
                <c:ptCount val="1"/>
                <c:pt idx="0">
                  <c:v>Sum of Transport category</c:v>
                </c:pt>
              </c:strCache>
            </c:strRef>
          </c:tx>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invertIfNegative val="0"/>
          <c:cat>
            <c:strRef>
              <c:f>'ana-1'!$E$8:$E$11</c:f>
              <c:strCache>
                <c:ptCount val="3"/>
                <c:pt idx="0">
                  <c:v>Rural</c:v>
                </c:pt>
                <c:pt idx="1">
                  <c:v>Rural+Urban</c:v>
                </c:pt>
                <c:pt idx="2">
                  <c:v>Urban</c:v>
                </c:pt>
              </c:strCache>
            </c:strRef>
          </c:cat>
          <c:val>
            <c:numRef>
              <c:f>'ana-1'!$I$8:$I$11</c:f>
              <c:numCache>
                <c:formatCode>General</c:formatCode>
                <c:ptCount val="3"/>
                <c:pt idx="0">
                  <c:v>169.7</c:v>
                </c:pt>
                <c:pt idx="1">
                  <c:v>164.8</c:v>
                </c:pt>
                <c:pt idx="2">
                  <c:v>160.4</c:v>
                </c:pt>
              </c:numCache>
            </c:numRef>
          </c:val>
          <c:extLst>
            <c:ext xmlns:c16="http://schemas.microsoft.com/office/drawing/2014/chart" uri="{C3380CC4-5D6E-409C-BE32-E72D297353CC}">
              <c16:uniqueId val="{00000003-BA99-4FAE-88E0-C9149000E909}"/>
            </c:ext>
          </c:extLst>
        </c:ser>
        <c:ser>
          <c:idx val="4"/>
          <c:order val="4"/>
          <c:tx>
            <c:strRef>
              <c:f>'ana-1'!$J$7</c:f>
              <c:strCache>
                <c:ptCount val="1"/>
                <c:pt idx="0">
                  <c:v>Sum of Health category</c:v>
                </c:pt>
              </c:strCache>
            </c:strRef>
          </c:tx>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invertIfNegative val="0"/>
          <c:cat>
            <c:strRef>
              <c:f>'ana-1'!$E$8:$E$11</c:f>
              <c:strCache>
                <c:ptCount val="3"/>
                <c:pt idx="0">
                  <c:v>Rural</c:v>
                </c:pt>
                <c:pt idx="1">
                  <c:v>Rural+Urban</c:v>
                </c:pt>
                <c:pt idx="2">
                  <c:v>Urban</c:v>
                </c:pt>
              </c:strCache>
            </c:strRef>
          </c:cat>
          <c:val>
            <c:numRef>
              <c:f>'ana-1'!$J$8:$J$11</c:f>
              <c:numCache>
                <c:formatCode>General</c:formatCode>
                <c:ptCount val="3"/>
                <c:pt idx="0">
                  <c:v>187.8</c:v>
                </c:pt>
                <c:pt idx="1">
                  <c:v>185.7</c:v>
                </c:pt>
                <c:pt idx="2">
                  <c:v>182.2</c:v>
                </c:pt>
              </c:numCache>
            </c:numRef>
          </c:val>
          <c:extLst>
            <c:ext xmlns:c16="http://schemas.microsoft.com/office/drawing/2014/chart" uri="{C3380CC4-5D6E-409C-BE32-E72D297353CC}">
              <c16:uniqueId val="{00000004-BA99-4FAE-88E0-C9149000E909}"/>
            </c:ext>
          </c:extLst>
        </c:ser>
        <c:ser>
          <c:idx val="5"/>
          <c:order val="5"/>
          <c:tx>
            <c:strRef>
              <c:f>'ana-1'!$K$7</c:f>
              <c:strCache>
                <c:ptCount val="1"/>
                <c:pt idx="0">
                  <c:v>Sum of Housing categpry</c:v>
                </c:pt>
              </c:strCache>
            </c:strRef>
          </c:tx>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invertIfNegative val="0"/>
          <c:cat>
            <c:strRef>
              <c:f>'ana-1'!$E$8:$E$11</c:f>
              <c:strCache>
                <c:ptCount val="3"/>
                <c:pt idx="0">
                  <c:v>Rural</c:v>
                </c:pt>
                <c:pt idx="1">
                  <c:v>Rural+Urban</c:v>
                </c:pt>
                <c:pt idx="2">
                  <c:v>Urban</c:v>
                </c:pt>
              </c:strCache>
            </c:strRef>
          </c:cat>
          <c:val>
            <c:numRef>
              <c:f>'ana-1'!$K$8:$K$11</c:f>
              <c:numCache>
                <c:formatCode>General</c:formatCode>
                <c:ptCount val="3"/>
                <c:pt idx="0">
                  <c:v>902.30000000000007</c:v>
                </c:pt>
                <c:pt idx="1">
                  <c:v>894.5</c:v>
                </c:pt>
                <c:pt idx="2">
                  <c:v>886.30000000000007</c:v>
                </c:pt>
              </c:numCache>
            </c:numRef>
          </c:val>
          <c:extLst>
            <c:ext xmlns:c16="http://schemas.microsoft.com/office/drawing/2014/chart" uri="{C3380CC4-5D6E-409C-BE32-E72D297353CC}">
              <c16:uniqueId val="{00000005-BA99-4FAE-88E0-C9149000E909}"/>
            </c:ext>
          </c:extLst>
        </c:ser>
        <c:ser>
          <c:idx val="6"/>
          <c:order val="6"/>
          <c:tx>
            <c:strRef>
              <c:f>'ana-1'!$L$7</c:f>
              <c:strCache>
                <c:ptCount val="1"/>
                <c:pt idx="0">
                  <c:v>Sum of Clothing category</c:v>
                </c:pt>
              </c:strCache>
            </c:strRef>
          </c:tx>
          <c:spPr>
            <a:solidFill>
              <a:schemeClr val="accent1">
                <a:lumMod val="60000"/>
                <a:alpha val="85000"/>
              </a:schemeClr>
            </a:solidFill>
            <a:ln w="9525" cap="flat" cmpd="sng" algn="ctr">
              <a:solidFill>
                <a:schemeClr val="accent1">
                  <a:lumMod val="60000"/>
                  <a:lumMod val="75000"/>
                </a:schemeClr>
              </a:solidFill>
              <a:round/>
            </a:ln>
            <a:effectLst/>
            <a:sp3d contourW="9525">
              <a:contourClr>
                <a:schemeClr val="accent1">
                  <a:lumMod val="60000"/>
                  <a:lumMod val="75000"/>
                </a:schemeClr>
              </a:contourClr>
            </a:sp3d>
          </c:spPr>
          <c:invertIfNegative val="0"/>
          <c:cat>
            <c:strRef>
              <c:f>'ana-1'!$E$8:$E$11</c:f>
              <c:strCache>
                <c:ptCount val="3"/>
                <c:pt idx="0">
                  <c:v>Rural</c:v>
                </c:pt>
                <c:pt idx="1">
                  <c:v>Rural+Urban</c:v>
                </c:pt>
                <c:pt idx="2">
                  <c:v>Urban</c:v>
                </c:pt>
              </c:strCache>
            </c:strRef>
          </c:cat>
          <c:val>
            <c:numRef>
              <c:f>'ana-1'!$L$8:$L$11</c:f>
              <c:numCache>
                <c:formatCode>General</c:formatCode>
                <c:ptCount val="3"/>
                <c:pt idx="0">
                  <c:v>379.1</c:v>
                </c:pt>
                <c:pt idx="1">
                  <c:v>367</c:v>
                </c:pt>
                <c:pt idx="2">
                  <c:v>349.4</c:v>
                </c:pt>
              </c:numCache>
            </c:numRef>
          </c:val>
          <c:extLst>
            <c:ext xmlns:c16="http://schemas.microsoft.com/office/drawing/2014/chart" uri="{C3380CC4-5D6E-409C-BE32-E72D297353CC}">
              <c16:uniqueId val="{00000006-BA99-4FAE-88E0-C9149000E909}"/>
            </c:ext>
          </c:extLst>
        </c:ser>
        <c:ser>
          <c:idx val="7"/>
          <c:order val="7"/>
          <c:tx>
            <c:strRef>
              <c:f>'ana-1'!$M$7</c:f>
              <c:strCache>
                <c:ptCount val="1"/>
                <c:pt idx="0">
                  <c:v>Sum of Tobacco category</c:v>
                </c:pt>
              </c:strCache>
            </c:strRef>
          </c:tx>
          <c:spPr>
            <a:solidFill>
              <a:schemeClr val="accent2">
                <a:lumMod val="60000"/>
                <a:alpha val="85000"/>
              </a:schemeClr>
            </a:solidFill>
            <a:ln w="9525" cap="flat" cmpd="sng" algn="ctr">
              <a:solidFill>
                <a:schemeClr val="accent2">
                  <a:lumMod val="60000"/>
                  <a:lumMod val="75000"/>
                </a:schemeClr>
              </a:solidFill>
              <a:round/>
            </a:ln>
            <a:effectLst/>
            <a:sp3d contourW="9525">
              <a:contourClr>
                <a:schemeClr val="accent2">
                  <a:lumMod val="60000"/>
                  <a:lumMod val="75000"/>
                </a:schemeClr>
              </a:contourClr>
            </a:sp3d>
          </c:spPr>
          <c:invertIfNegative val="0"/>
          <c:cat>
            <c:strRef>
              <c:f>'ana-1'!$E$8:$E$11</c:f>
              <c:strCache>
                <c:ptCount val="3"/>
                <c:pt idx="0">
                  <c:v>Rural</c:v>
                </c:pt>
                <c:pt idx="1">
                  <c:v>Rural+Urban</c:v>
                </c:pt>
                <c:pt idx="2">
                  <c:v>Urban</c:v>
                </c:pt>
              </c:strCache>
            </c:strRef>
          </c:cat>
          <c:val>
            <c:numRef>
              <c:f>'ana-1'!$M$8:$M$11</c:f>
              <c:numCache>
                <c:formatCode>General</c:formatCode>
                <c:ptCount val="3"/>
                <c:pt idx="0">
                  <c:v>199.9</c:v>
                </c:pt>
                <c:pt idx="1">
                  <c:v>201</c:v>
                </c:pt>
                <c:pt idx="2">
                  <c:v>204.2</c:v>
                </c:pt>
              </c:numCache>
            </c:numRef>
          </c:val>
          <c:extLst>
            <c:ext xmlns:c16="http://schemas.microsoft.com/office/drawing/2014/chart" uri="{C3380CC4-5D6E-409C-BE32-E72D297353CC}">
              <c16:uniqueId val="{00000007-BA99-4FAE-88E0-C9149000E909}"/>
            </c:ext>
          </c:extLst>
        </c:ser>
        <c:dLbls>
          <c:showLegendKey val="0"/>
          <c:showVal val="0"/>
          <c:showCatName val="0"/>
          <c:showSerName val="0"/>
          <c:showPercent val="0"/>
          <c:showBubbleSize val="0"/>
        </c:dLbls>
        <c:gapWidth val="65"/>
        <c:shape val="box"/>
        <c:axId val="556416392"/>
        <c:axId val="556416720"/>
        <c:axId val="0"/>
      </c:bar3DChart>
      <c:catAx>
        <c:axId val="55641639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56416720"/>
        <c:crosses val="autoZero"/>
        <c:auto val="1"/>
        <c:lblAlgn val="ctr"/>
        <c:lblOffset val="100"/>
        <c:noMultiLvlLbl val="0"/>
      </c:catAx>
      <c:valAx>
        <c:axId val="556416720"/>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56416392"/>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t>
            </a:r>
            <a:r>
              <a:rPr lang="en-IN" baseline="0"/>
              <a:t> contribution for diffrent sector</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0555555555555555E-2"/>
          <c:y val="0.18097222222222226"/>
          <c:w val="0.93888888888888888"/>
          <c:h val="0.44402559055118113"/>
        </c:manualLayout>
      </c:layout>
      <c:pie3D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143F-4CE2-891D-87FD5B00C2A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143F-4CE2-891D-87FD5B00C2A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143F-4CE2-891D-87FD5B00C2A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143F-4CE2-891D-87FD5B00C2AE}"/>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143F-4CE2-891D-87FD5B00C2AE}"/>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143F-4CE2-891D-87FD5B00C2AE}"/>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143F-4CE2-891D-87FD5B00C2AE}"/>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143F-4CE2-891D-87FD5B00C2A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'ana-1'!$P$41:$W$41</c:f>
              <c:strCache>
                <c:ptCount val="8"/>
                <c:pt idx="0">
                  <c:v>% of Food category</c:v>
                </c:pt>
                <c:pt idx="1">
                  <c:v>% of Education cat</c:v>
                </c:pt>
                <c:pt idx="2">
                  <c:v>% of Recreation &amp; amusement cat</c:v>
                </c:pt>
                <c:pt idx="3">
                  <c:v>% of Transport category</c:v>
                </c:pt>
                <c:pt idx="4">
                  <c:v>% of Health category</c:v>
                </c:pt>
                <c:pt idx="5">
                  <c:v>% of Housing categpry</c:v>
                </c:pt>
                <c:pt idx="6">
                  <c:v>% of Clothing category</c:v>
                </c:pt>
                <c:pt idx="7">
                  <c:v>% of Tobacco category</c:v>
                </c:pt>
              </c:strCache>
            </c:strRef>
          </c:cat>
          <c:val>
            <c:numRef>
              <c:f>'ana-1'!$P$42:$W$42</c:f>
              <c:numCache>
                <c:formatCode>0.00%</c:formatCode>
                <c:ptCount val="8"/>
                <c:pt idx="0">
                  <c:v>0.51090641448835761</c:v>
                </c:pt>
                <c:pt idx="1">
                  <c:v>4.0213221518422687E-2</c:v>
                </c:pt>
                <c:pt idx="2">
                  <c:v>3.8763493621197243E-2</c:v>
                </c:pt>
                <c:pt idx="3">
                  <c:v>3.7849049870639653E-2</c:v>
                </c:pt>
                <c:pt idx="4">
                  <c:v>4.1885984476759737E-2</c:v>
                </c:pt>
                <c:pt idx="5">
                  <c:v>0.20124453564100273</c:v>
                </c:pt>
                <c:pt idx="6">
                  <c:v>8.4552591667410096E-2</c:v>
                </c:pt>
                <c:pt idx="7">
                  <c:v>4.4584708716210175E-2</c:v>
                </c:pt>
              </c:numCache>
            </c:numRef>
          </c:val>
          <c:extLst>
            <c:ext xmlns:c16="http://schemas.microsoft.com/office/drawing/2014/chart" uri="{C3380CC4-5D6E-409C-BE32-E72D297353CC}">
              <c16:uniqueId val="{00000000-BB70-47D8-9D3A-0293E80174D8}"/>
            </c:ext>
          </c:extLst>
        </c:ser>
        <c:ser>
          <c:idx val="1"/>
          <c:order val="1"/>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143F-4CE2-891D-87FD5B00C2A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3-143F-4CE2-891D-87FD5B00C2A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5-143F-4CE2-891D-87FD5B00C2A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7-143F-4CE2-891D-87FD5B00C2AE}"/>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9-143F-4CE2-891D-87FD5B00C2AE}"/>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B-143F-4CE2-891D-87FD5B00C2AE}"/>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D-143F-4CE2-891D-87FD5B00C2AE}"/>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F-143F-4CE2-891D-87FD5B00C2A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'ana-1'!$P$41:$W$41</c:f>
              <c:strCache>
                <c:ptCount val="8"/>
                <c:pt idx="0">
                  <c:v>% of Food category</c:v>
                </c:pt>
                <c:pt idx="1">
                  <c:v>% of Education cat</c:v>
                </c:pt>
                <c:pt idx="2">
                  <c:v>% of Recreation &amp; amusement cat</c:v>
                </c:pt>
                <c:pt idx="3">
                  <c:v>% of Transport category</c:v>
                </c:pt>
                <c:pt idx="4">
                  <c:v>% of Health category</c:v>
                </c:pt>
                <c:pt idx="5">
                  <c:v>% of Housing categpry</c:v>
                </c:pt>
                <c:pt idx="6">
                  <c:v>% of Clothing category</c:v>
                </c:pt>
                <c:pt idx="7">
                  <c:v>% of Tobacco category</c:v>
                </c:pt>
              </c:strCache>
            </c:strRef>
          </c:cat>
          <c:val>
            <c:numRef>
              <c:f>'ana-1'!$P$43:$W$43</c:f>
              <c:numCache>
                <c:formatCode>0.00%</c:formatCode>
                <c:ptCount val="8"/>
                <c:pt idx="0">
                  <c:v>0.5162929143726781</c:v>
                </c:pt>
                <c:pt idx="1">
                  <c:v>3.96356474643033E-2</c:v>
                </c:pt>
                <c:pt idx="2">
                  <c:v>3.8315205228056037E-2</c:v>
                </c:pt>
                <c:pt idx="3">
                  <c:v>3.6882861107381051E-2</c:v>
                </c:pt>
                <c:pt idx="4">
                  <c:v>4.1560359876460319E-2</c:v>
                </c:pt>
                <c:pt idx="5">
                  <c:v>0.2001924712412157</c:v>
                </c:pt>
                <c:pt idx="6">
                  <c:v>8.2135983169956586E-2</c:v>
                </c:pt>
                <c:pt idx="7">
                  <c:v>4.4984557539948976E-2</c:v>
                </c:pt>
              </c:numCache>
            </c:numRef>
          </c:val>
          <c:extLst>
            <c:ext xmlns:c16="http://schemas.microsoft.com/office/drawing/2014/chart" uri="{C3380CC4-5D6E-409C-BE32-E72D297353CC}">
              <c16:uniqueId val="{00000001-BB70-47D8-9D3A-0293E80174D8}"/>
            </c:ext>
          </c:extLst>
        </c:ser>
        <c:ser>
          <c:idx val="2"/>
          <c:order val="2"/>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1-143F-4CE2-891D-87FD5B00C2A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3-143F-4CE2-891D-87FD5B00C2A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5-143F-4CE2-891D-87FD5B00C2A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7-143F-4CE2-891D-87FD5B00C2AE}"/>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9-143F-4CE2-891D-87FD5B00C2AE}"/>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B-143F-4CE2-891D-87FD5B00C2AE}"/>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D-143F-4CE2-891D-87FD5B00C2AE}"/>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F-143F-4CE2-891D-87FD5B00C2A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'ana-1'!$P$41:$W$41</c:f>
              <c:strCache>
                <c:ptCount val="8"/>
                <c:pt idx="0">
                  <c:v>% of Food category</c:v>
                </c:pt>
                <c:pt idx="1">
                  <c:v>% of Education cat</c:v>
                </c:pt>
                <c:pt idx="2">
                  <c:v>% of Recreation &amp; amusement cat</c:v>
                </c:pt>
                <c:pt idx="3">
                  <c:v>% of Transport category</c:v>
                </c:pt>
                <c:pt idx="4">
                  <c:v>% of Health category</c:v>
                </c:pt>
                <c:pt idx="5">
                  <c:v>% of Housing categpry</c:v>
                </c:pt>
                <c:pt idx="6">
                  <c:v>% of Clothing category</c:v>
                </c:pt>
                <c:pt idx="7">
                  <c:v>% of Tobacco category</c:v>
                </c:pt>
              </c:strCache>
            </c:strRef>
          </c:cat>
          <c:val>
            <c:numRef>
              <c:f>'ana-1'!$P$44:$W$44</c:f>
              <c:numCache>
                <c:formatCode>0.00%</c:formatCode>
                <c:ptCount val="8"/>
                <c:pt idx="0">
                  <c:v>0.52337726376187921</c:v>
                </c:pt>
                <c:pt idx="1">
                  <c:v>3.9178769948000722E-2</c:v>
                </c:pt>
                <c:pt idx="2">
                  <c:v>3.7923614846691774E-2</c:v>
                </c:pt>
                <c:pt idx="3">
                  <c:v>3.5951228258920574E-2</c:v>
                </c:pt>
                <c:pt idx="4">
                  <c:v>4.0837367760444686E-2</c:v>
                </c:pt>
                <c:pt idx="5">
                  <c:v>0.19865070826609293</c:v>
                </c:pt>
                <c:pt idx="6">
                  <c:v>7.831271292809755E-2</c:v>
                </c:pt>
                <c:pt idx="7">
                  <c:v>4.5768334229872691E-2</c:v>
                </c:pt>
              </c:numCache>
            </c:numRef>
          </c:val>
          <c:extLst>
            <c:ext xmlns:c16="http://schemas.microsoft.com/office/drawing/2014/chart" uri="{C3380CC4-5D6E-409C-BE32-E72D297353CC}">
              <c16:uniqueId val="{00000002-BB70-47D8-9D3A-0293E80174D8}"/>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2020</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'Ana-2'!$AD$35</c:f>
              <c:strCache>
                <c:ptCount val="1"/>
                <c:pt idx="0">
                  <c:v>Food category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'Ana-2'!$AE$34</c:f>
              <c:strCache>
                <c:ptCount val="1"/>
                <c:pt idx="0">
                  <c:v>YOY Inflation</c:v>
                </c:pt>
              </c:strCache>
            </c:strRef>
          </c:cat>
          <c:val>
            <c:numRef>
              <c:f>'Ana-2'!$AE$35</c:f>
              <c:numCache>
                <c:formatCode>0.00%</c:formatCode>
                <c:ptCount val="1"/>
                <c:pt idx="0">
                  <c:v>0.1921605018923444</c:v>
                </c:pt>
              </c:numCache>
            </c:numRef>
          </c:val>
          <c:extLst>
            <c:ext xmlns:c16="http://schemas.microsoft.com/office/drawing/2014/chart" uri="{C3380CC4-5D6E-409C-BE32-E72D297353CC}">
              <c16:uniqueId val="{00000000-0DC3-4A74-85D5-28DB6416DF50}"/>
            </c:ext>
          </c:extLst>
        </c:ser>
        <c:ser>
          <c:idx val="1"/>
          <c:order val="1"/>
          <c:tx>
            <c:strRef>
              <c:f>'Ana-2'!$AD$36</c:f>
              <c:strCache>
                <c:ptCount val="1"/>
                <c:pt idx="0">
                  <c:v>Tobacco category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'Ana-2'!$AE$34</c:f>
              <c:strCache>
                <c:ptCount val="1"/>
                <c:pt idx="0">
                  <c:v>YOY Inflation</c:v>
                </c:pt>
              </c:strCache>
            </c:strRef>
          </c:cat>
          <c:val>
            <c:numRef>
              <c:f>'Ana-2'!$AE$36</c:f>
              <c:numCache>
                <c:formatCode>0.00%</c:formatCode>
                <c:ptCount val="1"/>
                <c:pt idx="0">
                  <c:v>0.18906342416350005</c:v>
                </c:pt>
              </c:numCache>
            </c:numRef>
          </c:val>
          <c:extLst>
            <c:ext xmlns:c16="http://schemas.microsoft.com/office/drawing/2014/chart" uri="{C3380CC4-5D6E-409C-BE32-E72D297353CC}">
              <c16:uniqueId val="{00000001-0DC3-4A74-85D5-28DB6416DF50}"/>
            </c:ext>
          </c:extLst>
        </c:ser>
        <c:ser>
          <c:idx val="2"/>
          <c:order val="2"/>
          <c:tx>
            <c:strRef>
              <c:f>'Ana-2'!$AD$37</c:f>
              <c:strCache>
                <c:ptCount val="1"/>
                <c:pt idx="0">
                  <c:v>Clothing category</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'Ana-2'!$AE$34</c:f>
              <c:strCache>
                <c:ptCount val="1"/>
                <c:pt idx="0">
                  <c:v>YOY Inflation</c:v>
                </c:pt>
              </c:strCache>
            </c:strRef>
          </c:cat>
          <c:val>
            <c:numRef>
              <c:f>'Ana-2'!$AE$37</c:f>
              <c:numCache>
                <c:formatCode>0.00%</c:formatCode>
                <c:ptCount val="1"/>
                <c:pt idx="0">
                  <c:v>0.11756195328863919</c:v>
                </c:pt>
              </c:numCache>
            </c:numRef>
          </c:val>
          <c:extLst>
            <c:ext xmlns:c16="http://schemas.microsoft.com/office/drawing/2014/chart" uri="{C3380CC4-5D6E-409C-BE32-E72D297353CC}">
              <c16:uniqueId val="{00000002-0DC3-4A74-85D5-28DB6416DF50}"/>
            </c:ext>
          </c:extLst>
        </c:ser>
        <c:ser>
          <c:idx val="3"/>
          <c:order val="3"/>
          <c:tx>
            <c:strRef>
              <c:f>'Ana-2'!$AD$38</c:f>
              <c:strCache>
                <c:ptCount val="1"/>
                <c:pt idx="0">
                  <c:v>Health category</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'Ana-2'!$AE$34</c:f>
              <c:strCache>
                <c:ptCount val="1"/>
                <c:pt idx="0">
                  <c:v>YOY Inflation</c:v>
                </c:pt>
              </c:strCache>
            </c:strRef>
          </c:cat>
          <c:val>
            <c:numRef>
              <c:f>'Ana-2'!$AE$38</c:f>
              <c:numCache>
                <c:formatCode>0.00%</c:formatCode>
                <c:ptCount val="1"/>
                <c:pt idx="0">
                  <c:v>0.13830372795710019</c:v>
                </c:pt>
              </c:numCache>
            </c:numRef>
          </c:val>
          <c:extLst>
            <c:ext xmlns:c16="http://schemas.microsoft.com/office/drawing/2014/chart" uri="{C3380CC4-5D6E-409C-BE32-E72D297353CC}">
              <c16:uniqueId val="{00000003-0DC3-4A74-85D5-28DB6416DF50}"/>
            </c:ext>
          </c:extLst>
        </c:ser>
        <c:ser>
          <c:idx val="4"/>
          <c:order val="4"/>
          <c:tx>
            <c:strRef>
              <c:f>'Ana-2'!$AD$39</c:f>
              <c:strCache>
                <c:ptCount val="1"/>
                <c:pt idx="0">
                  <c:v>Transport category</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'Ana-2'!$AE$34</c:f>
              <c:strCache>
                <c:ptCount val="1"/>
                <c:pt idx="0">
                  <c:v>YOY Inflation</c:v>
                </c:pt>
              </c:strCache>
            </c:strRef>
          </c:cat>
          <c:val>
            <c:numRef>
              <c:f>'Ana-2'!$AE$39</c:f>
              <c:numCache>
                <c:formatCode>0.00%</c:formatCode>
                <c:ptCount val="1"/>
                <c:pt idx="0">
                  <c:v>0.18488532507227201</c:v>
                </c:pt>
              </c:numCache>
            </c:numRef>
          </c:val>
          <c:extLst>
            <c:ext xmlns:c16="http://schemas.microsoft.com/office/drawing/2014/chart" uri="{C3380CC4-5D6E-409C-BE32-E72D297353CC}">
              <c16:uniqueId val="{00000004-0DC3-4A74-85D5-28DB6416DF50}"/>
            </c:ext>
          </c:extLst>
        </c:ser>
        <c:ser>
          <c:idx val="5"/>
          <c:order val="5"/>
          <c:tx>
            <c:strRef>
              <c:f>'Ana-2'!$AD$40</c:f>
              <c:strCache>
                <c:ptCount val="1"/>
                <c:pt idx="0">
                  <c:v>Recreation &amp; amusement cat</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'Ana-2'!$AE$34</c:f>
              <c:strCache>
                <c:ptCount val="1"/>
                <c:pt idx="0">
                  <c:v>YOY Inflation</c:v>
                </c:pt>
              </c:strCache>
            </c:strRef>
          </c:cat>
          <c:val>
            <c:numRef>
              <c:f>'Ana-2'!$AE$40</c:f>
              <c:numCache>
                <c:formatCode>0.00%</c:formatCode>
                <c:ptCount val="1"/>
                <c:pt idx="0">
                  <c:v>0.14026647575157772</c:v>
                </c:pt>
              </c:numCache>
            </c:numRef>
          </c:val>
          <c:extLst>
            <c:ext xmlns:c16="http://schemas.microsoft.com/office/drawing/2014/chart" uri="{C3380CC4-5D6E-409C-BE32-E72D297353CC}">
              <c16:uniqueId val="{00000005-0DC3-4A74-85D5-28DB6416DF50}"/>
            </c:ext>
          </c:extLst>
        </c:ser>
        <c:ser>
          <c:idx val="6"/>
          <c:order val="6"/>
          <c:tx>
            <c:strRef>
              <c:f>'Ana-2'!$AD$41</c:f>
              <c:strCache>
                <c:ptCount val="1"/>
                <c:pt idx="0">
                  <c:v>Education cat</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'Ana-2'!$AE$34</c:f>
              <c:strCache>
                <c:ptCount val="1"/>
                <c:pt idx="0">
                  <c:v>YOY Inflation</c:v>
                </c:pt>
              </c:strCache>
            </c:strRef>
          </c:cat>
          <c:val>
            <c:numRef>
              <c:f>'Ana-2'!$AE$41</c:f>
              <c:numCache>
                <c:formatCode>0.00%</c:formatCode>
                <c:ptCount val="1"/>
                <c:pt idx="0">
                  <c:v>0.11832942945729036</c:v>
                </c:pt>
              </c:numCache>
            </c:numRef>
          </c:val>
          <c:extLst>
            <c:ext xmlns:c16="http://schemas.microsoft.com/office/drawing/2014/chart" uri="{C3380CC4-5D6E-409C-BE32-E72D297353CC}">
              <c16:uniqueId val="{00000006-0DC3-4A74-85D5-28DB6416DF50}"/>
            </c:ext>
          </c:extLst>
        </c:ser>
        <c:ser>
          <c:idx val="7"/>
          <c:order val="7"/>
          <c:tx>
            <c:strRef>
              <c:f>'Ana-2'!$AD$42</c:f>
              <c:strCache>
                <c:ptCount val="1"/>
                <c:pt idx="0">
                  <c:v>Housing category</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'Ana-2'!$AE$34</c:f>
              <c:strCache>
                <c:ptCount val="1"/>
                <c:pt idx="0">
                  <c:v>YOY Inflation</c:v>
                </c:pt>
              </c:strCache>
            </c:strRef>
          </c:cat>
          <c:val>
            <c:numRef>
              <c:f>'Ana-2'!$AE$42</c:f>
              <c:numCache>
                <c:formatCode>0.00%</c:formatCode>
                <c:ptCount val="1"/>
                <c:pt idx="0">
                  <c:v>0.14503377366401099</c:v>
                </c:pt>
              </c:numCache>
            </c:numRef>
          </c:val>
          <c:extLst>
            <c:ext xmlns:c16="http://schemas.microsoft.com/office/drawing/2014/chart" uri="{C3380CC4-5D6E-409C-BE32-E72D297353CC}">
              <c16:uniqueId val="{00000007-0DC3-4A74-85D5-28DB6416DF50}"/>
            </c:ext>
          </c:extLst>
        </c:ser>
        <c:dLbls>
          <c:dLblPos val="outEnd"/>
          <c:showLegendKey val="0"/>
          <c:showVal val="1"/>
          <c:showCatName val="0"/>
          <c:showSerName val="0"/>
          <c:showPercent val="0"/>
          <c:showBubbleSize val="0"/>
        </c:dLbls>
        <c:gapWidth val="100"/>
        <c:overlap val="-24"/>
        <c:axId val="656191544"/>
        <c:axId val="656192856"/>
      </c:barChart>
      <c:catAx>
        <c:axId val="6561915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6192856"/>
        <c:crosses val="autoZero"/>
        <c:auto val="1"/>
        <c:lblAlgn val="ctr"/>
        <c:lblOffset val="100"/>
        <c:noMultiLvlLbl val="0"/>
      </c:catAx>
      <c:valAx>
        <c:axId val="656192856"/>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61915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Inflation</a:t>
            </a:r>
            <a:r>
              <a:rPr lang="en-IN" baseline="0"/>
              <a:t> Chart</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'Ana-2'!$L$15:$L$17</c:f>
              <c:strCache>
                <c:ptCount val="3"/>
                <c:pt idx="0">
                  <c:v>Rural + Urban</c:v>
                </c:pt>
                <c:pt idx="2">
                  <c:v>Sum of General index</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'Ana-2'!$K$18:$K$28</c:f>
              <c:numCache>
                <c:formatCode>General</c:formatCode>
                <c:ptCount val="11"/>
                <c:pt idx="0">
                  <c:v>2013</c:v>
                </c:pt>
                <c:pt idx="1">
                  <c:v>2014</c:v>
                </c:pt>
                <c:pt idx="2">
                  <c:v>2015</c:v>
                </c:pt>
                <c:pt idx="3">
                  <c:v>2016</c:v>
                </c:pt>
                <c:pt idx="4">
                  <c:v>2017</c:v>
                </c:pt>
                <c:pt idx="5">
                  <c:v>2018</c:v>
                </c:pt>
                <c:pt idx="6">
                  <c:v>2019</c:v>
                </c:pt>
                <c:pt idx="7">
                  <c:v>2020</c:v>
                </c:pt>
                <c:pt idx="8">
                  <c:v>2021</c:v>
                </c:pt>
                <c:pt idx="9">
                  <c:v>2022</c:v>
                </c:pt>
                <c:pt idx="10">
                  <c:v>2023</c:v>
                </c:pt>
              </c:numCache>
            </c:numRef>
          </c:cat>
          <c:val>
            <c:numRef>
              <c:f>'Ana-2'!$L$18:$L$28</c:f>
              <c:numCache>
                <c:formatCode>0.0</c:formatCode>
                <c:ptCount val="11"/>
                <c:pt idx="0">
                  <c:v>1320.3999999999999</c:v>
                </c:pt>
                <c:pt idx="1">
                  <c:v>1408.1999999999998</c:v>
                </c:pt>
                <c:pt idx="2">
                  <c:v>1477.2999999999997</c:v>
                </c:pt>
                <c:pt idx="3">
                  <c:v>1550.3999999999996</c:v>
                </c:pt>
                <c:pt idx="4">
                  <c:v>1601.9999999999998</c:v>
                </c:pt>
                <c:pt idx="5">
                  <c:v>1665.3</c:v>
                </c:pt>
                <c:pt idx="6">
                  <c:v>1586.0000000000002</c:v>
                </c:pt>
                <c:pt idx="7">
                  <c:v>1836.2995605468748</c:v>
                </c:pt>
                <c:pt idx="8">
                  <c:v>1937.4999999999998</c:v>
                </c:pt>
                <c:pt idx="9">
                  <c:v>2065.7999999999997</c:v>
                </c:pt>
                <c:pt idx="10">
                  <c:v>888.09999999999991</c:v>
                </c:pt>
              </c:numCache>
            </c:numRef>
          </c:val>
          <c:extLst>
            <c:ext xmlns:c16="http://schemas.microsoft.com/office/drawing/2014/chart" uri="{C3380CC4-5D6E-409C-BE32-E72D297353CC}">
              <c16:uniqueId val="{00000000-BA51-4760-BE4E-896B015578F0}"/>
            </c:ext>
          </c:extLst>
        </c:ser>
        <c:dLbls>
          <c:showLegendKey val="0"/>
          <c:showVal val="0"/>
          <c:showCatName val="0"/>
          <c:showSerName val="0"/>
          <c:showPercent val="0"/>
          <c:showBubbleSize val="0"/>
        </c:dLbls>
        <c:gapWidth val="219"/>
        <c:overlap val="-27"/>
        <c:axId val="636828184"/>
        <c:axId val="636824248"/>
      </c:barChart>
      <c:lineChart>
        <c:grouping val="standard"/>
        <c:varyColors val="0"/>
        <c:ser>
          <c:idx val="1"/>
          <c:order val="1"/>
          <c:tx>
            <c:strRef>
              <c:f>'Ana-2'!$M$15:$M$17</c:f>
              <c:strCache>
                <c:ptCount val="3"/>
                <c:pt idx="0">
                  <c:v>Rural + Urban</c:v>
                </c:pt>
                <c:pt idx="2">
                  <c:v>Inflation</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'Ana-2'!$K$18:$K$28</c:f>
              <c:numCache>
                <c:formatCode>General</c:formatCode>
                <c:ptCount val="11"/>
                <c:pt idx="0">
                  <c:v>2013</c:v>
                </c:pt>
                <c:pt idx="1">
                  <c:v>2014</c:v>
                </c:pt>
                <c:pt idx="2">
                  <c:v>2015</c:v>
                </c:pt>
                <c:pt idx="3">
                  <c:v>2016</c:v>
                </c:pt>
                <c:pt idx="4">
                  <c:v>2017</c:v>
                </c:pt>
                <c:pt idx="5">
                  <c:v>2018</c:v>
                </c:pt>
                <c:pt idx="6">
                  <c:v>2019</c:v>
                </c:pt>
                <c:pt idx="7">
                  <c:v>2020</c:v>
                </c:pt>
                <c:pt idx="8">
                  <c:v>2021</c:v>
                </c:pt>
                <c:pt idx="9">
                  <c:v>2022</c:v>
                </c:pt>
                <c:pt idx="10">
                  <c:v>2023</c:v>
                </c:pt>
              </c:numCache>
            </c:numRef>
          </c:cat>
          <c:val>
            <c:numRef>
              <c:f>'Ana-2'!$M$18:$M$28</c:f>
              <c:numCache>
                <c:formatCode>0.00%</c:formatCode>
                <c:ptCount val="11"/>
                <c:pt idx="1">
                  <c:v>6.6495001514692495E-2</c:v>
                </c:pt>
                <c:pt idx="2">
                  <c:v>4.9069734412725406E-2</c:v>
                </c:pt>
                <c:pt idx="3">
                  <c:v>4.9482163406213989E-2</c:v>
                </c:pt>
                <c:pt idx="4">
                  <c:v>3.3281733746130124E-2</c:v>
                </c:pt>
                <c:pt idx="5">
                  <c:v>3.951310861423233E-2</c:v>
                </c:pt>
                <c:pt idx="6">
                  <c:v>-4.7619047619047457E-2</c:v>
                </c:pt>
                <c:pt idx="7">
                  <c:v>0.15781813401442277</c:v>
                </c:pt>
                <c:pt idx="8">
                  <c:v>5.5111073175329928E-2</c:v>
                </c:pt>
                <c:pt idx="9">
                  <c:v>6.6219354838709665E-2</c:v>
                </c:pt>
                <c:pt idx="10">
                  <c:v>-0.57009391034950141</c:v>
                </c:pt>
              </c:numCache>
            </c:numRef>
          </c:val>
          <c:smooth val="0"/>
          <c:extLst>
            <c:ext xmlns:c16="http://schemas.microsoft.com/office/drawing/2014/chart" uri="{C3380CC4-5D6E-409C-BE32-E72D297353CC}">
              <c16:uniqueId val="{00000001-BA51-4760-BE4E-896B015578F0}"/>
            </c:ext>
          </c:extLst>
        </c:ser>
        <c:dLbls>
          <c:showLegendKey val="0"/>
          <c:showVal val="0"/>
          <c:showCatName val="0"/>
          <c:showSerName val="0"/>
          <c:showPercent val="0"/>
          <c:showBubbleSize val="0"/>
        </c:dLbls>
        <c:marker val="1"/>
        <c:smooth val="0"/>
        <c:axId val="636824576"/>
        <c:axId val="636827200"/>
      </c:lineChart>
      <c:catAx>
        <c:axId val="6368281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6824248"/>
        <c:crosses val="autoZero"/>
        <c:auto val="1"/>
        <c:lblAlgn val="ctr"/>
        <c:lblOffset val="100"/>
        <c:noMultiLvlLbl val="0"/>
      </c:catAx>
      <c:valAx>
        <c:axId val="636824248"/>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6828184"/>
        <c:crosses val="autoZero"/>
        <c:crossBetween val="between"/>
      </c:valAx>
      <c:valAx>
        <c:axId val="636827200"/>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6824576"/>
        <c:crosses val="max"/>
        <c:crossBetween val="between"/>
      </c:valAx>
      <c:catAx>
        <c:axId val="636824576"/>
        <c:scaling>
          <c:orientation val="minMax"/>
        </c:scaling>
        <c:delete val="1"/>
        <c:axPos val="b"/>
        <c:numFmt formatCode="General" sourceLinked="1"/>
        <c:majorTickMark val="none"/>
        <c:minorTickMark val="none"/>
        <c:tickLblPos val="nextTo"/>
        <c:crossAx val="63682720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Inflation</a:t>
            </a:r>
            <a:r>
              <a:rPr lang="en-IN" baseline="0"/>
              <a:t> basis on MOM</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'Ana-3'!$E$5</c:f>
              <c:strCache>
                <c:ptCount val="1"/>
                <c:pt idx="0">
                  <c:v>Food category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'Ana-3'!$D$6:$D$17</c:f>
              <c:strCache>
                <c:ptCount val="12"/>
                <c:pt idx="0">
                  <c:v>2022 June</c:v>
                </c:pt>
                <c:pt idx="1">
                  <c:v>2022 July</c:v>
                </c:pt>
                <c:pt idx="2">
                  <c:v>2022 August</c:v>
                </c:pt>
                <c:pt idx="3">
                  <c:v>2022 September</c:v>
                </c:pt>
                <c:pt idx="4">
                  <c:v>2022 October</c:v>
                </c:pt>
                <c:pt idx="5">
                  <c:v>2022 November</c:v>
                </c:pt>
                <c:pt idx="6">
                  <c:v>2022 December</c:v>
                </c:pt>
                <c:pt idx="7">
                  <c:v>2023 January</c:v>
                </c:pt>
                <c:pt idx="8">
                  <c:v>2023 February</c:v>
                </c:pt>
                <c:pt idx="9">
                  <c:v>2023 March </c:v>
                </c:pt>
                <c:pt idx="10">
                  <c:v>2023 April</c:v>
                </c:pt>
                <c:pt idx="11">
                  <c:v>2023 May</c:v>
                </c:pt>
              </c:strCache>
            </c:strRef>
          </c:cat>
          <c:val>
            <c:numRef>
              <c:f>'Ana-3'!$E$6:$E$17</c:f>
              <c:numCache>
                <c:formatCode>General</c:formatCode>
                <c:ptCount val="12"/>
                <c:pt idx="0">
                  <c:v>6797.7000000000007</c:v>
                </c:pt>
                <c:pt idx="1">
                  <c:v>6810.4000000000005</c:v>
                </c:pt>
                <c:pt idx="2">
                  <c:v>6818.7000000000007</c:v>
                </c:pt>
                <c:pt idx="3">
                  <c:v>6855.1</c:v>
                </c:pt>
                <c:pt idx="4">
                  <c:v>6904.1</c:v>
                </c:pt>
                <c:pt idx="5">
                  <c:v>6898.9000000000005</c:v>
                </c:pt>
                <c:pt idx="6">
                  <c:v>6856.2999999999993</c:v>
                </c:pt>
                <c:pt idx="7">
                  <c:v>6886.1</c:v>
                </c:pt>
                <c:pt idx="8">
                  <c:v>6848</c:v>
                </c:pt>
                <c:pt idx="9">
                  <c:v>6848.4</c:v>
                </c:pt>
                <c:pt idx="10">
                  <c:v>6881.5</c:v>
                </c:pt>
                <c:pt idx="11">
                  <c:v>6932.7000000000007</c:v>
                </c:pt>
              </c:numCache>
            </c:numRef>
          </c:val>
          <c:extLst>
            <c:ext xmlns:c16="http://schemas.microsoft.com/office/drawing/2014/chart" uri="{C3380CC4-5D6E-409C-BE32-E72D297353CC}">
              <c16:uniqueId val="{00000000-A141-43DC-9D6F-2478BE8AA403}"/>
            </c:ext>
          </c:extLst>
        </c:ser>
        <c:dLbls>
          <c:showLegendKey val="0"/>
          <c:showVal val="0"/>
          <c:showCatName val="0"/>
          <c:showSerName val="0"/>
          <c:showPercent val="0"/>
          <c:showBubbleSize val="0"/>
        </c:dLbls>
        <c:gapWidth val="219"/>
        <c:overlap val="-27"/>
        <c:axId val="576966312"/>
        <c:axId val="576963688"/>
      </c:barChart>
      <c:lineChart>
        <c:grouping val="standard"/>
        <c:varyColors val="0"/>
        <c:ser>
          <c:idx val="1"/>
          <c:order val="1"/>
          <c:tx>
            <c:strRef>
              <c:f>'Ana-3'!$F$5</c:f>
              <c:strCache>
                <c:ptCount val="1"/>
                <c:pt idx="0">
                  <c:v>Inflation</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strRef>
              <c:f>'Ana-3'!$D$6:$D$17</c:f>
              <c:strCache>
                <c:ptCount val="12"/>
                <c:pt idx="0">
                  <c:v>2022 June</c:v>
                </c:pt>
                <c:pt idx="1">
                  <c:v>2022 July</c:v>
                </c:pt>
                <c:pt idx="2">
                  <c:v>2022 August</c:v>
                </c:pt>
                <c:pt idx="3">
                  <c:v>2022 September</c:v>
                </c:pt>
                <c:pt idx="4">
                  <c:v>2022 October</c:v>
                </c:pt>
                <c:pt idx="5">
                  <c:v>2022 November</c:v>
                </c:pt>
                <c:pt idx="6">
                  <c:v>2022 December</c:v>
                </c:pt>
                <c:pt idx="7">
                  <c:v>2023 January</c:v>
                </c:pt>
                <c:pt idx="8">
                  <c:v>2023 February</c:v>
                </c:pt>
                <c:pt idx="9">
                  <c:v>2023 March </c:v>
                </c:pt>
                <c:pt idx="10">
                  <c:v>2023 April</c:v>
                </c:pt>
                <c:pt idx="11">
                  <c:v>2023 May</c:v>
                </c:pt>
              </c:strCache>
            </c:strRef>
          </c:cat>
          <c:val>
            <c:numRef>
              <c:f>'Ana-3'!$F$6:$F$17</c:f>
              <c:numCache>
                <c:formatCode>0.00%</c:formatCode>
                <c:ptCount val="12"/>
                <c:pt idx="1">
                  <c:v>1.8682789767126846E-3</c:v>
                </c:pt>
                <c:pt idx="2">
                  <c:v>1.2187243040056651E-3</c:v>
                </c:pt>
                <c:pt idx="3">
                  <c:v>5.3382609588337416E-3</c:v>
                </c:pt>
                <c:pt idx="4">
                  <c:v>7.1479628305932807E-3</c:v>
                </c:pt>
                <c:pt idx="5">
                  <c:v>-7.5317564925186746E-4</c:v>
                </c:pt>
                <c:pt idx="6">
                  <c:v>-6.1748974474193381E-3</c:v>
                </c:pt>
                <c:pt idx="7">
                  <c:v>4.3463675743478395E-3</c:v>
                </c:pt>
                <c:pt idx="8">
                  <c:v>-5.5328850873499315E-3</c:v>
                </c:pt>
                <c:pt idx="9">
                  <c:v>5.8411214953217905E-5</c:v>
                </c:pt>
                <c:pt idx="10">
                  <c:v>4.8332457216284626E-3</c:v>
                </c:pt>
                <c:pt idx="11">
                  <c:v>7.4402383201337971E-3</c:v>
                </c:pt>
              </c:numCache>
            </c:numRef>
          </c:val>
          <c:smooth val="0"/>
          <c:extLst>
            <c:ext xmlns:c16="http://schemas.microsoft.com/office/drawing/2014/chart" uri="{C3380CC4-5D6E-409C-BE32-E72D297353CC}">
              <c16:uniqueId val="{00000001-A141-43DC-9D6F-2478BE8AA403}"/>
            </c:ext>
          </c:extLst>
        </c:ser>
        <c:dLbls>
          <c:showLegendKey val="0"/>
          <c:showVal val="0"/>
          <c:showCatName val="0"/>
          <c:showSerName val="0"/>
          <c:showPercent val="0"/>
          <c:showBubbleSize val="0"/>
        </c:dLbls>
        <c:marker val="1"/>
        <c:smooth val="0"/>
        <c:axId val="576965328"/>
        <c:axId val="576967296"/>
      </c:lineChart>
      <c:catAx>
        <c:axId val="5769663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6963688"/>
        <c:crosses val="autoZero"/>
        <c:auto val="1"/>
        <c:lblAlgn val="ctr"/>
        <c:lblOffset val="100"/>
        <c:noMultiLvlLbl val="0"/>
      </c:catAx>
      <c:valAx>
        <c:axId val="57696368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6966312"/>
        <c:crosses val="autoZero"/>
        <c:crossBetween val="between"/>
      </c:valAx>
      <c:valAx>
        <c:axId val="576967296"/>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6965328"/>
        <c:crosses val="max"/>
        <c:crossBetween val="between"/>
      </c:valAx>
      <c:catAx>
        <c:axId val="576965328"/>
        <c:scaling>
          <c:orientation val="minMax"/>
        </c:scaling>
        <c:delete val="1"/>
        <c:axPos val="b"/>
        <c:numFmt formatCode="General" sourceLinked="1"/>
        <c:majorTickMark val="none"/>
        <c:minorTickMark val="none"/>
        <c:tickLblPos val="nextTo"/>
        <c:crossAx val="57696729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Individual food category contribution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17634243429616375"/>
          <c:w val="0.97222222222222221"/>
          <c:h val="0.39483413531641876"/>
        </c:manualLayout>
      </c:layout>
      <c:pie3D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5622-41D5-B04A-A4E4C51E9AD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5622-41D5-B04A-A4E4C51E9AD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5622-41D5-B04A-A4E4C51E9AD1}"/>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5622-41D5-B04A-A4E4C51E9AD1}"/>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5622-41D5-B04A-A4E4C51E9AD1}"/>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5622-41D5-B04A-A4E4C51E9AD1}"/>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5622-41D5-B04A-A4E4C51E9AD1}"/>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5622-41D5-B04A-A4E4C51E9AD1}"/>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5622-41D5-B04A-A4E4C51E9AD1}"/>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3-5622-41D5-B04A-A4E4C51E9AD1}"/>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5-5622-41D5-B04A-A4E4C51E9AD1}"/>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7-5622-41D5-B04A-A4E4C51E9AD1}"/>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9-5622-41D5-B04A-A4E4C51E9AD1}"/>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B-5622-41D5-B04A-A4E4C51E9AD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'Ana-3'!$AR$3:$AR$16</c:f>
              <c:strCache>
                <c:ptCount val="14"/>
                <c:pt idx="0">
                  <c:v>June 2022-May 2023</c:v>
                </c:pt>
                <c:pt idx="1">
                  <c:v>Cereals and products</c:v>
                </c:pt>
                <c:pt idx="2">
                  <c:v>Meat and fish</c:v>
                </c:pt>
                <c:pt idx="3">
                  <c:v>Egg</c:v>
                </c:pt>
                <c:pt idx="4">
                  <c:v>Milk and products</c:v>
                </c:pt>
                <c:pt idx="5">
                  <c:v>Oils and fats</c:v>
                </c:pt>
                <c:pt idx="6">
                  <c:v>Fruits</c:v>
                </c:pt>
                <c:pt idx="7">
                  <c:v>Vegetables</c:v>
                </c:pt>
                <c:pt idx="8">
                  <c:v>Pulses and products</c:v>
                </c:pt>
                <c:pt idx="9">
                  <c:v>Sugar and Confectionery</c:v>
                </c:pt>
                <c:pt idx="10">
                  <c:v>Spices</c:v>
                </c:pt>
                <c:pt idx="11">
                  <c:v>Non-alcoholic beverages</c:v>
                </c:pt>
                <c:pt idx="12">
                  <c:v>Prepared meals, snacks, sweets etc.</c:v>
                </c:pt>
                <c:pt idx="13">
                  <c:v>Food and beverages</c:v>
                </c:pt>
              </c:strCache>
            </c:strRef>
          </c:cat>
          <c:val>
            <c:numRef>
              <c:f>'Ana-3'!$AS$3:$AS$16</c:f>
              <c:numCache>
                <c:formatCode>0.00%</c:formatCode>
                <c:ptCount val="14"/>
                <c:pt idx="1">
                  <c:v>0.11309708746930035</c:v>
                </c:pt>
                <c:pt idx="2">
                  <c:v>-2.1180872862463635E-2</c:v>
                </c:pt>
                <c:pt idx="3">
                  <c:v>2.5085116490250935E-2</c:v>
                </c:pt>
                <c:pt idx="4">
                  <c:v>7.9344721583903544E-2</c:v>
                </c:pt>
                <c:pt idx="5">
                  <c:v>-0.16068757659060465</c:v>
                </c:pt>
                <c:pt idx="6">
                  <c:v>1.9566579588782947E-2</c:v>
                </c:pt>
                <c:pt idx="7">
                  <c:v>-0.11025198453134809</c:v>
                </c:pt>
                <c:pt idx="8">
                  <c:v>6.8883626983179291E-2</c:v>
                </c:pt>
                <c:pt idx="9">
                  <c:v>2.3257930291601128E-2</c:v>
                </c:pt>
                <c:pt idx="10">
                  <c:v>0.15256620125282808</c:v>
                </c:pt>
                <c:pt idx="11">
                  <c:v>3.3027487485006078E-2</c:v>
                </c:pt>
                <c:pt idx="12">
                  <c:v>5.4623724633817428E-2</c:v>
                </c:pt>
                <c:pt idx="13">
                  <c:v>2.3552637868070467E-2</c:v>
                </c:pt>
              </c:numCache>
            </c:numRef>
          </c:val>
          <c:extLst>
            <c:ext xmlns:c16="http://schemas.microsoft.com/office/drawing/2014/chart" uri="{C3380CC4-5D6E-409C-BE32-E72D297353CC}">
              <c16:uniqueId val="{00000000-5B6B-49C5-9B76-F34478944183}"/>
            </c:ext>
          </c:extLst>
        </c:ser>
        <c:dLbls>
          <c:dLblPos val="bestFit"/>
          <c:showLegendKey val="0"/>
          <c:showVal val="1"/>
          <c:showCatName val="0"/>
          <c:showSerName val="0"/>
          <c:showPercent val="0"/>
          <c:showBubbleSize val="0"/>
          <c:showLeaderLines val="1"/>
        </c:dLbls>
      </c:pie3DChart>
      <c:spPr>
        <a:noFill/>
        <a:ln>
          <a:noFill/>
        </a:ln>
        <a:effectLst/>
      </c:spPr>
    </c:plotArea>
    <c:legend>
      <c:legendPos val="b"/>
      <c:legendEntry>
        <c:idx val="0"/>
        <c:delete val="1"/>
      </c:legendEntry>
      <c:layout>
        <c:manualLayout>
          <c:xMode val="edge"/>
          <c:yMode val="edge"/>
          <c:x val="3.6841644794400705E-2"/>
          <c:y val="0.59374671916010502"/>
          <c:w val="0.85409448818897649"/>
          <c:h val="0.3784755030621171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Healhcare</a:t>
            </a:r>
            <a:r>
              <a:rPr lang="en-IN" baseline="0"/>
              <a:t> inductry before &amp; after covid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'Ana-4'!$X$4</c:f>
              <c:strCache>
                <c:ptCount val="1"/>
                <c:pt idx="0">
                  <c:v>Sum of Health category</c:v>
                </c:pt>
              </c:strCache>
            </c:strRef>
          </c:tx>
          <c:spPr>
            <a:solidFill>
              <a:schemeClr val="accent1"/>
            </a:solidFill>
            <a:ln>
              <a:noFill/>
            </a:ln>
            <a:effectLst/>
          </c:spPr>
          <c:invertIfNegative val="0"/>
          <c:cat>
            <c:strRef>
              <c:f>'Ana-4'!$W$5:$W$27</c:f>
              <c:strCache>
                <c:ptCount val="23"/>
                <c:pt idx="0">
                  <c:v>2019 March </c:v>
                </c:pt>
                <c:pt idx="1">
                  <c:v>2019 May</c:v>
                </c:pt>
                <c:pt idx="2">
                  <c:v>2019 June</c:v>
                </c:pt>
                <c:pt idx="3">
                  <c:v>2019 July</c:v>
                </c:pt>
                <c:pt idx="4">
                  <c:v>2019 August</c:v>
                </c:pt>
                <c:pt idx="5">
                  <c:v>2019 September</c:v>
                </c:pt>
                <c:pt idx="6">
                  <c:v>2019 October</c:v>
                </c:pt>
                <c:pt idx="7">
                  <c:v>2019 November</c:v>
                </c:pt>
                <c:pt idx="8">
                  <c:v>2019 December</c:v>
                </c:pt>
                <c:pt idx="9">
                  <c:v>2020 January</c:v>
                </c:pt>
                <c:pt idx="10">
                  <c:v>2020 February</c:v>
                </c:pt>
                <c:pt idx="11">
                  <c:v>2020 March</c:v>
                </c:pt>
                <c:pt idx="12">
                  <c:v>2020 April</c:v>
                </c:pt>
                <c:pt idx="13">
                  <c:v>2020 May</c:v>
                </c:pt>
                <c:pt idx="14">
                  <c:v>2020 June</c:v>
                </c:pt>
                <c:pt idx="15">
                  <c:v>2020 July</c:v>
                </c:pt>
                <c:pt idx="16">
                  <c:v>2020 August</c:v>
                </c:pt>
                <c:pt idx="17">
                  <c:v>2020 September</c:v>
                </c:pt>
                <c:pt idx="18">
                  <c:v>2020 October</c:v>
                </c:pt>
                <c:pt idx="19">
                  <c:v>2020 November</c:v>
                </c:pt>
                <c:pt idx="20">
                  <c:v>2020 December</c:v>
                </c:pt>
                <c:pt idx="21">
                  <c:v>2021 January</c:v>
                </c:pt>
                <c:pt idx="22">
                  <c:v>2021 February</c:v>
                </c:pt>
              </c:strCache>
            </c:strRef>
          </c:cat>
          <c:val>
            <c:numRef>
              <c:f>'Ana-4'!$X$5:$X$27</c:f>
              <c:numCache>
                <c:formatCode>General</c:formatCode>
                <c:ptCount val="23"/>
                <c:pt idx="0">
                  <c:v>435.8</c:v>
                </c:pt>
                <c:pt idx="1">
                  <c:v>438</c:v>
                </c:pt>
                <c:pt idx="2">
                  <c:v>439.4</c:v>
                </c:pt>
                <c:pt idx="3">
                  <c:v>440.9</c:v>
                </c:pt>
                <c:pt idx="4">
                  <c:v>442.7</c:v>
                </c:pt>
                <c:pt idx="5">
                  <c:v>444.3</c:v>
                </c:pt>
                <c:pt idx="6">
                  <c:v>445.5</c:v>
                </c:pt>
                <c:pt idx="7">
                  <c:v>447</c:v>
                </c:pt>
                <c:pt idx="8">
                  <c:v>448.4</c:v>
                </c:pt>
                <c:pt idx="9">
                  <c:v>450.7</c:v>
                </c:pt>
                <c:pt idx="10">
                  <c:v>452.3</c:v>
                </c:pt>
                <c:pt idx="11">
                  <c:v>454</c:v>
                </c:pt>
                <c:pt idx="12">
                  <c:v>449.8</c:v>
                </c:pt>
                <c:pt idx="13" formatCode="0.0">
                  <c:v>454.46562499999999</c:v>
                </c:pt>
                <c:pt idx="14">
                  <c:v>460.69999999999993</c:v>
                </c:pt>
                <c:pt idx="15">
                  <c:v>460.69999999999993</c:v>
                </c:pt>
                <c:pt idx="16">
                  <c:v>462.5</c:v>
                </c:pt>
                <c:pt idx="17">
                  <c:v>464.70000000000005</c:v>
                </c:pt>
                <c:pt idx="18">
                  <c:v>466.8</c:v>
                </c:pt>
                <c:pt idx="19">
                  <c:v>469.59999999999997</c:v>
                </c:pt>
                <c:pt idx="20">
                  <c:v>472.8</c:v>
                </c:pt>
                <c:pt idx="21">
                  <c:v>475.90000000000003</c:v>
                </c:pt>
                <c:pt idx="22">
                  <c:v>481.90000000000003</c:v>
                </c:pt>
              </c:numCache>
            </c:numRef>
          </c:val>
          <c:extLst>
            <c:ext xmlns:c16="http://schemas.microsoft.com/office/drawing/2014/chart" uri="{C3380CC4-5D6E-409C-BE32-E72D297353CC}">
              <c16:uniqueId val="{00000000-E77D-435D-9853-7A1510099CE2}"/>
            </c:ext>
          </c:extLst>
        </c:ser>
        <c:dLbls>
          <c:showLegendKey val="0"/>
          <c:showVal val="0"/>
          <c:showCatName val="0"/>
          <c:showSerName val="0"/>
          <c:showPercent val="0"/>
          <c:showBubbleSize val="0"/>
        </c:dLbls>
        <c:gapWidth val="219"/>
        <c:overlap val="-27"/>
        <c:axId val="583982504"/>
        <c:axId val="583985128"/>
      </c:barChart>
      <c:lineChart>
        <c:grouping val="standard"/>
        <c:varyColors val="0"/>
        <c:ser>
          <c:idx val="1"/>
          <c:order val="1"/>
          <c:tx>
            <c:strRef>
              <c:f>'Ana-4'!$Y$4</c:f>
              <c:strCache>
                <c:ptCount val="1"/>
                <c:pt idx="0">
                  <c:v>Inflation</c:v>
                </c:pt>
              </c:strCache>
            </c:strRef>
          </c:tx>
          <c:spPr>
            <a:ln w="28575" cap="rnd">
              <a:solidFill>
                <a:schemeClr val="accent2"/>
              </a:solidFill>
              <a:round/>
            </a:ln>
            <a:effectLst/>
          </c:spPr>
          <c:marker>
            <c:symbol val="none"/>
          </c:marker>
          <c:cat>
            <c:strRef>
              <c:f>'Ana-4'!$W$5:$W$27</c:f>
              <c:strCache>
                <c:ptCount val="23"/>
                <c:pt idx="0">
                  <c:v>2019 March </c:v>
                </c:pt>
                <c:pt idx="1">
                  <c:v>2019 May</c:v>
                </c:pt>
                <c:pt idx="2">
                  <c:v>2019 June</c:v>
                </c:pt>
                <c:pt idx="3">
                  <c:v>2019 July</c:v>
                </c:pt>
                <c:pt idx="4">
                  <c:v>2019 August</c:v>
                </c:pt>
                <c:pt idx="5">
                  <c:v>2019 September</c:v>
                </c:pt>
                <c:pt idx="6">
                  <c:v>2019 October</c:v>
                </c:pt>
                <c:pt idx="7">
                  <c:v>2019 November</c:v>
                </c:pt>
                <c:pt idx="8">
                  <c:v>2019 December</c:v>
                </c:pt>
                <c:pt idx="9">
                  <c:v>2020 January</c:v>
                </c:pt>
                <c:pt idx="10">
                  <c:v>2020 February</c:v>
                </c:pt>
                <c:pt idx="11">
                  <c:v>2020 March</c:v>
                </c:pt>
                <c:pt idx="12">
                  <c:v>2020 April</c:v>
                </c:pt>
                <c:pt idx="13">
                  <c:v>2020 May</c:v>
                </c:pt>
                <c:pt idx="14">
                  <c:v>2020 June</c:v>
                </c:pt>
                <c:pt idx="15">
                  <c:v>2020 July</c:v>
                </c:pt>
                <c:pt idx="16">
                  <c:v>2020 August</c:v>
                </c:pt>
                <c:pt idx="17">
                  <c:v>2020 September</c:v>
                </c:pt>
                <c:pt idx="18">
                  <c:v>2020 October</c:v>
                </c:pt>
                <c:pt idx="19">
                  <c:v>2020 November</c:v>
                </c:pt>
                <c:pt idx="20">
                  <c:v>2020 December</c:v>
                </c:pt>
                <c:pt idx="21">
                  <c:v>2021 January</c:v>
                </c:pt>
                <c:pt idx="22">
                  <c:v>2021 February</c:v>
                </c:pt>
              </c:strCache>
            </c:strRef>
          </c:cat>
          <c:val>
            <c:numRef>
              <c:f>'Ana-4'!$Y$5:$Y$27</c:f>
              <c:numCache>
                <c:formatCode>0.00%</c:formatCode>
                <c:ptCount val="23"/>
                <c:pt idx="1">
                  <c:v>5.048187241854035E-3</c:v>
                </c:pt>
                <c:pt idx="2">
                  <c:v>3.1963470319634184E-3</c:v>
                </c:pt>
                <c:pt idx="3">
                  <c:v>3.4137460172963133E-3</c:v>
                </c:pt>
                <c:pt idx="4">
                  <c:v>4.0825584032660725E-3</c:v>
                </c:pt>
                <c:pt idx="5">
                  <c:v>3.6141856787892993E-3</c:v>
                </c:pt>
                <c:pt idx="6">
                  <c:v>2.7008777852801902E-3</c:v>
                </c:pt>
                <c:pt idx="7">
                  <c:v>3.3670033670033669E-3</c:v>
                </c:pt>
                <c:pt idx="8">
                  <c:v>3.1319910514540877E-3</c:v>
                </c:pt>
                <c:pt idx="9">
                  <c:v>5.1293487957181343E-3</c:v>
                </c:pt>
                <c:pt idx="10">
                  <c:v>3.5500332815620651E-3</c:v>
                </c:pt>
                <c:pt idx="11">
                  <c:v>3.7585673225734879E-3</c:v>
                </c:pt>
                <c:pt idx="12">
                  <c:v>-9.2511013215858789E-3</c:v>
                </c:pt>
                <c:pt idx="13">
                  <c:v>1.0372665629168469E-2</c:v>
                </c:pt>
                <c:pt idx="14">
                  <c:v>1.3718034229761478E-2</c:v>
                </c:pt>
                <c:pt idx="15">
                  <c:v>0</c:v>
                </c:pt>
                <c:pt idx="16">
                  <c:v>3.9070978945085055E-3</c:v>
                </c:pt>
                <c:pt idx="17">
                  <c:v>4.7567567567568551E-3</c:v>
                </c:pt>
                <c:pt idx="18">
                  <c:v>4.5190445448675823E-3</c:v>
                </c:pt>
                <c:pt idx="19">
                  <c:v>5.9982862039416338E-3</c:v>
                </c:pt>
                <c:pt idx="20">
                  <c:v>6.8143100511074226E-3</c:v>
                </c:pt>
                <c:pt idx="21">
                  <c:v>6.5566835871404879E-3</c:v>
                </c:pt>
                <c:pt idx="22">
                  <c:v>1.2607690691321706E-2</c:v>
                </c:pt>
              </c:numCache>
            </c:numRef>
          </c:val>
          <c:smooth val="0"/>
          <c:extLst>
            <c:ext xmlns:c16="http://schemas.microsoft.com/office/drawing/2014/chart" uri="{C3380CC4-5D6E-409C-BE32-E72D297353CC}">
              <c16:uniqueId val="{00000001-E77D-435D-9853-7A1510099CE2}"/>
            </c:ext>
          </c:extLst>
        </c:ser>
        <c:dLbls>
          <c:showLegendKey val="0"/>
          <c:showVal val="0"/>
          <c:showCatName val="0"/>
          <c:showSerName val="0"/>
          <c:showPercent val="0"/>
          <c:showBubbleSize val="0"/>
        </c:dLbls>
        <c:marker val="1"/>
        <c:smooth val="0"/>
        <c:axId val="583984144"/>
        <c:axId val="583983816"/>
      </c:lineChart>
      <c:catAx>
        <c:axId val="583982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985128"/>
        <c:crosses val="autoZero"/>
        <c:auto val="1"/>
        <c:lblAlgn val="ctr"/>
        <c:lblOffset val="100"/>
        <c:noMultiLvlLbl val="0"/>
      </c:catAx>
      <c:valAx>
        <c:axId val="583985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982504"/>
        <c:crosses val="autoZero"/>
        <c:crossBetween val="between"/>
      </c:valAx>
      <c:valAx>
        <c:axId val="583983816"/>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984144"/>
        <c:crosses val="max"/>
        <c:crossBetween val="between"/>
      </c:valAx>
      <c:catAx>
        <c:axId val="583984144"/>
        <c:scaling>
          <c:orientation val="minMax"/>
        </c:scaling>
        <c:delete val="1"/>
        <c:axPos val="b"/>
        <c:numFmt formatCode="General" sourceLinked="1"/>
        <c:majorTickMark val="none"/>
        <c:minorTickMark val="none"/>
        <c:tickLblPos val="nextTo"/>
        <c:crossAx val="58398381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R&amp;A</a:t>
            </a:r>
            <a:r>
              <a:rPr lang="en-IN" baseline="0"/>
              <a:t> category before &amp; after covid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'Ana-4'!$AN$4</c:f>
              <c:strCache>
                <c:ptCount val="1"/>
                <c:pt idx="0">
                  <c:v>Sum of R&amp;A category</c:v>
                </c:pt>
              </c:strCache>
            </c:strRef>
          </c:tx>
          <c:spPr>
            <a:solidFill>
              <a:schemeClr val="accent1"/>
            </a:solidFill>
            <a:ln>
              <a:noFill/>
            </a:ln>
            <a:effectLst/>
          </c:spPr>
          <c:invertIfNegative val="0"/>
          <c:cat>
            <c:strRef>
              <c:f>'Ana-4'!$AM$5:$AM$27</c:f>
              <c:strCache>
                <c:ptCount val="23"/>
                <c:pt idx="0">
                  <c:v>2019 March </c:v>
                </c:pt>
                <c:pt idx="1">
                  <c:v>2019 May</c:v>
                </c:pt>
                <c:pt idx="2">
                  <c:v>2019 June</c:v>
                </c:pt>
                <c:pt idx="3">
                  <c:v>2019 July</c:v>
                </c:pt>
                <c:pt idx="4">
                  <c:v>2019 August</c:v>
                </c:pt>
                <c:pt idx="5">
                  <c:v>2019 September</c:v>
                </c:pt>
                <c:pt idx="6">
                  <c:v>2019 October</c:v>
                </c:pt>
                <c:pt idx="7">
                  <c:v>2019 November</c:v>
                </c:pt>
                <c:pt idx="8">
                  <c:v>2019 December</c:v>
                </c:pt>
                <c:pt idx="9">
                  <c:v>2020 January</c:v>
                </c:pt>
                <c:pt idx="10">
                  <c:v>2020 February</c:v>
                </c:pt>
                <c:pt idx="11">
                  <c:v>2020 March</c:v>
                </c:pt>
                <c:pt idx="12">
                  <c:v>2020 April</c:v>
                </c:pt>
                <c:pt idx="13">
                  <c:v>2020 May</c:v>
                </c:pt>
                <c:pt idx="14">
                  <c:v>2020 June</c:v>
                </c:pt>
                <c:pt idx="15">
                  <c:v>2020 July</c:v>
                </c:pt>
                <c:pt idx="16">
                  <c:v>2020 August</c:v>
                </c:pt>
                <c:pt idx="17">
                  <c:v>2020 September</c:v>
                </c:pt>
                <c:pt idx="18">
                  <c:v>2020 October</c:v>
                </c:pt>
                <c:pt idx="19">
                  <c:v>2020 November</c:v>
                </c:pt>
                <c:pt idx="20">
                  <c:v>2020 December</c:v>
                </c:pt>
                <c:pt idx="21">
                  <c:v>2021 January</c:v>
                </c:pt>
                <c:pt idx="22">
                  <c:v>2021 February</c:v>
                </c:pt>
              </c:strCache>
            </c:strRef>
          </c:cat>
          <c:val>
            <c:numRef>
              <c:f>'Ana-4'!$AN$5:$AN$27</c:f>
              <c:numCache>
                <c:formatCode>General</c:formatCode>
                <c:ptCount val="23"/>
                <c:pt idx="0">
                  <c:v>414.5</c:v>
                </c:pt>
                <c:pt idx="1">
                  <c:v>419.09999999999997</c:v>
                </c:pt>
                <c:pt idx="2">
                  <c:v>420.30000000000007</c:v>
                </c:pt>
                <c:pt idx="3">
                  <c:v>423</c:v>
                </c:pt>
                <c:pt idx="4">
                  <c:v>424.29999999999995</c:v>
                </c:pt>
                <c:pt idx="5">
                  <c:v>425.50000000000006</c:v>
                </c:pt>
                <c:pt idx="6">
                  <c:v>426.59999999999997</c:v>
                </c:pt>
                <c:pt idx="7">
                  <c:v>427.9</c:v>
                </c:pt>
                <c:pt idx="8">
                  <c:v>428.6</c:v>
                </c:pt>
                <c:pt idx="9">
                  <c:v>430.09999999999997</c:v>
                </c:pt>
                <c:pt idx="10">
                  <c:v>431.3</c:v>
                </c:pt>
                <c:pt idx="11">
                  <c:v>432.8</c:v>
                </c:pt>
                <c:pt idx="12" formatCode="0.0">
                  <c:v>438.65156249999995</c:v>
                </c:pt>
                <c:pt idx="13" formatCode="0.0">
                  <c:v>444.54328613281245</c:v>
                </c:pt>
                <c:pt idx="14">
                  <c:v>446</c:v>
                </c:pt>
                <c:pt idx="15">
                  <c:v>446</c:v>
                </c:pt>
                <c:pt idx="16">
                  <c:v>439.4</c:v>
                </c:pt>
                <c:pt idx="17">
                  <c:v>441.20000000000005</c:v>
                </c:pt>
                <c:pt idx="18">
                  <c:v>440.9</c:v>
                </c:pt>
                <c:pt idx="19">
                  <c:v>446.4</c:v>
                </c:pt>
                <c:pt idx="20">
                  <c:v>446.70000000000005</c:v>
                </c:pt>
                <c:pt idx="21">
                  <c:v>450.1</c:v>
                </c:pt>
                <c:pt idx="22">
                  <c:v>455.8</c:v>
                </c:pt>
              </c:numCache>
            </c:numRef>
          </c:val>
          <c:extLst>
            <c:ext xmlns:c16="http://schemas.microsoft.com/office/drawing/2014/chart" uri="{C3380CC4-5D6E-409C-BE32-E72D297353CC}">
              <c16:uniqueId val="{00000000-5510-4E4D-83B4-01437B05551B}"/>
            </c:ext>
          </c:extLst>
        </c:ser>
        <c:dLbls>
          <c:showLegendKey val="0"/>
          <c:showVal val="0"/>
          <c:showCatName val="0"/>
          <c:showSerName val="0"/>
          <c:showPercent val="0"/>
          <c:showBubbleSize val="0"/>
        </c:dLbls>
        <c:gapWidth val="219"/>
        <c:overlap val="-27"/>
        <c:axId val="434088376"/>
        <c:axId val="434084768"/>
      </c:barChart>
      <c:lineChart>
        <c:grouping val="standard"/>
        <c:varyColors val="0"/>
        <c:ser>
          <c:idx val="1"/>
          <c:order val="1"/>
          <c:tx>
            <c:strRef>
              <c:f>'Ana-4'!$AO$4</c:f>
              <c:strCache>
                <c:ptCount val="1"/>
                <c:pt idx="0">
                  <c:v>Inflation</c:v>
                </c:pt>
              </c:strCache>
            </c:strRef>
          </c:tx>
          <c:spPr>
            <a:ln w="28575" cap="rnd">
              <a:solidFill>
                <a:schemeClr val="accent2"/>
              </a:solidFill>
              <a:round/>
            </a:ln>
            <a:effectLst/>
          </c:spPr>
          <c:marker>
            <c:symbol val="none"/>
          </c:marker>
          <c:cat>
            <c:strRef>
              <c:f>'Ana-4'!$AM$5:$AM$27</c:f>
              <c:strCache>
                <c:ptCount val="23"/>
                <c:pt idx="0">
                  <c:v>2019 March </c:v>
                </c:pt>
                <c:pt idx="1">
                  <c:v>2019 May</c:v>
                </c:pt>
                <c:pt idx="2">
                  <c:v>2019 June</c:v>
                </c:pt>
                <c:pt idx="3">
                  <c:v>2019 July</c:v>
                </c:pt>
                <c:pt idx="4">
                  <c:v>2019 August</c:v>
                </c:pt>
                <c:pt idx="5">
                  <c:v>2019 September</c:v>
                </c:pt>
                <c:pt idx="6">
                  <c:v>2019 October</c:v>
                </c:pt>
                <c:pt idx="7">
                  <c:v>2019 November</c:v>
                </c:pt>
                <c:pt idx="8">
                  <c:v>2019 December</c:v>
                </c:pt>
                <c:pt idx="9">
                  <c:v>2020 January</c:v>
                </c:pt>
                <c:pt idx="10">
                  <c:v>2020 February</c:v>
                </c:pt>
                <c:pt idx="11">
                  <c:v>2020 March</c:v>
                </c:pt>
                <c:pt idx="12">
                  <c:v>2020 April</c:v>
                </c:pt>
                <c:pt idx="13">
                  <c:v>2020 May</c:v>
                </c:pt>
                <c:pt idx="14">
                  <c:v>2020 June</c:v>
                </c:pt>
                <c:pt idx="15">
                  <c:v>2020 July</c:v>
                </c:pt>
                <c:pt idx="16">
                  <c:v>2020 August</c:v>
                </c:pt>
                <c:pt idx="17">
                  <c:v>2020 September</c:v>
                </c:pt>
                <c:pt idx="18">
                  <c:v>2020 October</c:v>
                </c:pt>
                <c:pt idx="19">
                  <c:v>2020 November</c:v>
                </c:pt>
                <c:pt idx="20">
                  <c:v>2020 December</c:v>
                </c:pt>
                <c:pt idx="21">
                  <c:v>2021 January</c:v>
                </c:pt>
                <c:pt idx="22">
                  <c:v>2021 February</c:v>
                </c:pt>
              </c:strCache>
            </c:strRef>
          </c:cat>
          <c:val>
            <c:numRef>
              <c:f>'Ana-4'!$AO$5:$AO$27</c:f>
              <c:numCache>
                <c:formatCode>0.00%</c:formatCode>
                <c:ptCount val="23"/>
                <c:pt idx="1">
                  <c:v>1.1097708082026456E-2</c:v>
                </c:pt>
                <c:pt idx="2">
                  <c:v>2.8632784538298794E-3</c:v>
                </c:pt>
                <c:pt idx="3">
                  <c:v>6.4239828693788519E-3</c:v>
                </c:pt>
                <c:pt idx="4">
                  <c:v>3.0732860520093488E-3</c:v>
                </c:pt>
                <c:pt idx="5">
                  <c:v>2.8281876031112478E-3</c:v>
                </c:pt>
                <c:pt idx="6">
                  <c:v>2.5851938895415016E-3</c:v>
                </c:pt>
                <c:pt idx="7">
                  <c:v>3.0473511486169983E-3</c:v>
                </c:pt>
                <c:pt idx="8">
                  <c:v>1.6358962374387602E-3</c:v>
                </c:pt>
                <c:pt idx="9">
                  <c:v>3.4997666822210523E-3</c:v>
                </c:pt>
                <c:pt idx="10">
                  <c:v>2.7900488258545586E-3</c:v>
                </c:pt>
                <c:pt idx="11">
                  <c:v>3.4778576396939484E-3</c:v>
                </c:pt>
                <c:pt idx="12">
                  <c:v>1.3520246072088593E-2</c:v>
                </c:pt>
                <c:pt idx="13">
                  <c:v>1.343144339720094E-2</c:v>
                </c:pt>
                <c:pt idx="14">
                  <c:v>3.2768774439489237E-3</c:v>
                </c:pt>
                <c:pt idx="15">
                  <c:v>0</c:v>
                </c:pt>
                <c:pt idx="16">
                  <c:v>-1.4798206278026957E-2</c:v>
                </c:pt>
                <c:pt idx="17">
                  <c:v>4.0964952207557309E-3</c:v>
                </c:pt>
                <c:pt idx="18">
                  <c:v>-6.799637352676069E-4</c:v>
                </c:pt>
                <c:pt idx="19">
                  <c:v>1.2474484009979588E-2</c:v>
                </c:pt>
                <c:pt idx="20">
                  <c:v>6.7204301075284099E-4</c:v>
                </c:pt>
                <c:pt idx="21">
                  <c:v>7.6113722856502733E-3</c:v>
                </c:pt>
                <c:pt idx="22">
                  <c:v>1.2663852477227257E-2</c:v>
                </c:pt>
              </c:numCache>
            </c:numRef>
          </c:val>
          <c:smooth val="0"/>
          <c:extLst>
            <c:ext xmlns:c16="http://schemas.microsoft.com/office/drawing/2014/chart" uri="{C3380CC4-5D6E-409C-BE32-E72D297353CC}">
              <c16:uniqueId val="{00000001-5510-4E4D-83B4-01437B05551B}"/>
            </c:ext>
          </c:extLst>
        </c:ser>
        <c:dLbls>
          <c:showLegendKey val="0"/>
          <c:showVal val="0"/>
          <c:showCatName val="0"/>
          <c:showSerName val="0"/>
          <c:showPercent val="0"/>
          <c:showBubbleSize val="0"/>
        </c:dLbls>
        <c:marker val="1"/>
        <c:smooth val="0"/>
        <c:axId val="576681936"/>
        <c:axId val="576681280"/>
      </c:lineChart>
      <c:catAx>
        <c:axId val="434088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084768"/>
        <c:crosses val="autoZero"/>
        <c:auto val="1"/>
        <c:lblAlgn val="ctr"/>
        <c:lblOffset val="100"/>
        <c:noMultiLvlLbl val="0"/>
      </c:catAx>
      <c:valAx>
        <c:axId val="434084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088376"/>
        <c:crosses val="autoZero"/>
        <c:crossBetween val="between"/>
      </c:valAx>
      <c:valAx>
        <c:axId val="576681280"/>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681936"/>
        <c:crosses val="max"/>
        <c:crossBetween val="between"/>
      </c:valAx>
      <c:catAx>
        <c:axId val="576681936"/>
        <c:scaling>
          <c:orientation val="minMax"/>
        </c:scaling>
        <c:delete val="1"/>
        <c:axPos val="b"/>
        <c:numFmt formatCode="General" sourceLinked="1"/>
        <c:majorTickMark val="none"/>
        <c:minorTickMark val="none"/>
        <c:tickLblPos val="nextTo"/>
        <c:crossAx val="57668128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Food</a:t>
            </a:r>
            <a:r>
              <a:rPr lang="en-IN" baseline="0"/>
              <a:t> categoey before &amp; After Covid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'Ana-4'!$G$4</c:f>
              <c:strCache>
                <c:ptCount val="1"/>
                <c:pt idx="0">
                  <c:v>Total of Food category</c:v>
                </c:pt>
              </c:strCache>
            </c:strRef>
          </c:tx>
          <c:spPr>
            <a:solidFill>
              <a:schemeClr val="accent1"/>
            </a:solidFill>
            <a:ln>
              <a:noFill/>
            </a:ln>
            <a:effectLst/>
          </c:spPr>
          <c:invertIfNegative val="0"/>
          <c:cat>
            <c:strRef>
              <c:f>'Ana-4'!$F$5:$F$27</c:f>
              <c:strCache>
                <c:ptCount val="23"/>
                <c:pt idx="0">
                  <c:v>2019 March </c:v>
                </c:pt>
                <c:pt idx="1">
                  <c:v>2019 May</c:v>
                </c:pt>
                <c:pt idx="2">
                  <c:v>2019 June</c:v>
                </c:pt>
                <c:pt idx="3">
                  <c:v>2019 July</c:v>
                </c:pt>
                <c:pt idx="4">
                  <c:v>2019 August</c:v>
                </c:pt>
                <c:pt idx="5">
                  <c:v>2019 September</c:v>
                </c:pt>
                <c:pt idx="6">
                  <c:v>2019 October</c:v>
                </c:pt>
                <c:pt idx="7">
                  <c:v>2019 November</c:v>
                </c:pt>
                <c:pt idx="8">
                  <c:v>2019 December</c:v>
                </c:pt>
                <c:pt idx="9">
                  <c:v>2020 January</c:v>
                </c:pt>
                <c:pt idx="10">
                  <c:v>2020 February</c:v>
                </c:pt>
                <c:pt idx="11">
                  <c:v>2020 March</c:v>
                </c:pt>
                <c:pt idx="12">
                  <c:v>2020 April</c:v>
                </c:pt>
                <c:pt idx="13">
                  <c:v>2020 May</c:v>
                </c:pt>
                <c:pt idx="14">
                  <c:v>2020 June</c:v>
                </c:pt>
                <c:pt idx="15">
                  <c:v>2020 July</c:v>
                </c:pt>
                <c:pt idx="16">
                  <c:v>2020 August</c:v>
                </c:pt>
                <c:pt idx="17">
                  <c:v>2020 September</c:v>
                </c:pt>
                <c:pt idx="18">
                  <c:v>2020 October</c:v>
                </c:pt>
                <c:pt idx="19">
                  <c:v>2020 November</c:v>
                </c:pt>
                <c:pt idx="20">
                  <c:v>2020 December</c:v>
                </c:pt>
                <c:pt idx="21">
                  <c:v>2021 January</c:v>
                </c:pt>
                <c:pt idx="22">
                  <c:v>2021 February</c:v>
                </c:pt>
              </c:strCache>
            </c:strRef>
          </c:cat>
          <c:val>
            <c:numRef>
              <c:f>'Ana-4'!$G$5:$G$27</c:f>
              <c:numCache>
                <c:formatCode>General</c:formatCode>
                <c:ptCount val="23"/>
                <c:pt idx="0">
                  <c:v>5292.5</c:v>
                </c:pt>
                <c:pt idx="1">
                  <c:v>5385.5000000000009</c:v>
                </c:pt>
                <c:pt idx="2">
                  <c:v>5451.5999999999995</c:v>
                </c:pt>
                <c:pt idx="3">
                  <c:v>5521.7999999999993</c:v>
                </c:pt>
                <c:pt idx="4">
                  <c:v>5550.1</c:v>
                </c:pt>
                <c:pt idx="5">
                  <c:v>5581.3</c:v>
                </c:pt>
                <c:pt idx="6">
                  <c:v>5665.0999999999995</c:v>
                </c:pt>
                <c:pt idx="7">
                  <c:v>5739.5</c:v>
                </c:pt>
                <c:pt idx="8">
                  <c:v>5843.8</c:v>
                </c:pt>
                <c:pt idx="9">
                  <c:v>5824.4</c:v>
                </c:pt>
                <c:pt idx="10">
                  <c:v>5738</c:v>
                </c:pt>
                <c:pt idx="11">
                  <c:v>5688.5</c:v>
                </c:pt>
                <c:pt idx="12">
                  <c:v>5908.9</c:v>
                </c:pt>
                <c:pt idx="13" formatCode="0.0">
                  <c:v>6383.5015624999996</c:v>
                </c:pt>
                <c:pt idx="14">
                  <c:v>5912.8</c:v>
                </c:pt>
                <c:pt idx="15">
                  <c:v>5912.8</c:v>
                </c:pt>
                <c:pt idx="16">
                  <c:v>5998.7</c:v>
                </c:pt>
                <c:pt idx="17">
                  <c:v>6036</c:v>
                </c:pt>
                <c:pt idx="18">
                  <c:v>6159.7000000000007</c:v>
                </c:pt>
                <c:pt idx="19">
                  <c:v>6298.7000000000007</c:v>
                </c:pt>
                <c:pt idx="20">
                  <c:v>6335</c:v>
                </c:pt>
                <c:pt idx="21">
                  <c:v>6239.2</c:v>
                </c:pt>
                <c:pt idx="22">
                  <c:v>6130.6</c:v>
                </c:pt>
              </c:numCache>
            </c:numRef>
          </c:val>
          <c:extLst>
            <c:ext xmlns:c16="http://schemas.microsoft.com/office/drawing/2014/chart" uri="{C3380CC4-5D6E-409C-BE32-E72D297353CC}">
              <c16:uniqueId val="{00000000-80D1-4AB0-8F00-024623B28667}"/>
            </c:ext>
          </c:extLst>
        </c:ser>
        <c:dLbls>
          <c:showLegendKey val="0"/>
          <c:showVal val="0"/>
          <c:showCatName val="0"/>
          <c:showSerName val="0"/>
          <c:showPercent val="0"/>
          <c:showBubbleSize val="0"/>
        </c:dLbls>
        <c:gapWidth val="219"/>
        <c:overlap val="-27"/>
        <c:axId val="576692432"/>
        <c:axId val="576682592"/>
      </c:barChart>
      <c:lineChart>
        <c:grouping val="standard"/>
        <c:varyColors val="0"/>
        <c:ser>
          <c:idx val="1"/>
          <c:order val="1"/>
          <c:tx>
            <c:strRef>
              <c:f>'Ana-4'!$H$4</c:f>
              <c:strCache>
                <c:ptCount val="1"/>
                <c:pt idx="0">
                  <c:v>Inflation</c:v>
                </c:pt>
              </c:strCache>
            </c:strRef>
          </c:tx>
          <c:spPr>
            <a:ln w="28575" cap="rnd">
              <a:solidFill>
                <a:schemeClr val="accent2"/>
              </a:solidFill>
              <a:round/>
            </a:ln>
            <a:effectLst/>
          </c:spPr>
          <c:marker>
            <c:symbol val="none"/>
          </c:marker>
          <c:cat>
            <c:strRef>
              <c:f>'Ana-4'!$F$5:$F$27</c:f>
              <c:strCache>
                <c:ptCount val="23"/>
                <c:pt idx="0">
                  <c:v>2019 March </c:v>
                </c:pt>
                <c:pt idx="1">
                  <c:v>2019 May</c:v>
                </c:pt>
                <c:pt idx="2">
                  <c:v>2019 June</c:v>
                </c:pt>
                <c:pt idx="3">
                  <c:v>2019 July</c:v>
                </c:pt>
                <c:pt idx="4">
                  <c:v>2019 August</c:v>
                </c:pt>
                <c:pt idx="5">
                  <c:v>2019 September</c:v>
                </c:pt>
                <c:pt idx="6">
                  <c:v>2019 October</c:v>
                </c:pt>
                <c:pt idx="7">
                  <c:v>2019 November</c:v>
                </c:pt>
                <c:pt idx="8">
                  <c:v>2019 December</c:v>
                </c:pt>
                <c:pt idx="9">
                  <c:v>2020 January</c:v>
                </c:pt>
                <c:pt idx="10">
                  <c:v>2020 February</c:v>
                </c:pt>
                <c:pt idx="11">
                  <c:v>2020 March</c:v>
                </c:pt>
                <c:pt idx="12">
                  <c:v>2020 April</c:v>
                </c:pt>
                <c:pt idx="13">
                  <c:v>2020 May</c:v>
                </c:pt>
                <c:pt idx="14">
                  <c:v>2020 June</c:v>
                </c:pt>
                <c:pt idx="15">
                  <c:v>2020 July</c:v>
                </c:pt>
                <c:pt idx="16">
                  <c:v>2020 August</c:v>
                </c:pt>
                <c:pt idx="17">
                  <c:v>2020 September</c:v>
                </c:pt>
                <c:pt idx="18">
                  <c:v>2020 October</c:v>
                </c:pt>
                <c:pt idx="19">
                  <c:v>2020 November</c:v>
                </c:pt>
                <c:pt idx="20">
                  <c:v>2020 December</c:v>
                </c:pt>
                <c:pt idx="21">
                  <c:v>2021 January</c:v>
                </c:pt>
                <c:pt idx="22">
                  <c:v>2021 February</c:v>
                </c:pt>
              </c:strCache>
            </c:strRef>
          </c:cat>
          <c:val>
            <c:numRef>
              <c:f>'Ana-4'!$H$5:$H$27</c:f>
              <c:numCache>
                <c:formatCode>0.00%</c:formatCode>
                <c:ptCount val="23"/>
                <c:pt idx="1">
                  <c:v>1.7572035899858462E-2</c:v>
                </c:pt>
                <c:pt idx="2">
                  <c:v>1.2273697892488819E-2</c:v>
                </c:pt>
                <c:pt idx="3">
                  <c:v>1.2876953554919624E-2</c:v>
                </c:pt>
                <c:pt idx="4">
                  <c:v>5.1251403527837113E-3</c:v>
                </c:pt>
                <c:pt idx="5">
                  <c:v>5.6215203329669401E-3</c:v>
                </c:pt>
                <c:pt idx="6">
                  <c:v>1.5014423163062238E-2</c:v>
                </c:pt>
                <c:pt idx="7">
                  <c:v>1.3133042664736819E-2</c:v>
                </c:pt>
                <c:pt idx="8">
                  <c:v>1.8172314661555916E-2</c:v>
                </c:pt>
                <c:pt idx="9">
                  <c:v>-3.3197576919128898E-3</c:v>
                </c:pt>
                <c:pt idx="10">
                  <c:v>-1.4834146006455539E-2</c:v>
                </c:pt>
                <c:pt idx="11">
                  <c:v>-8.6266991983269432E-3</c:v>
                </c:pt>
                <c:pt idx="12">
                  <c:v>3.8744836072778351E-2</c:v>
                </c:pt>
                <c:pt idx="13">
                  <c:v>8.031978244681752E-2</c:v>
                </c:pt>
                <c:pt idx="14">
                  <c:v>-7.3737204869682285E-2</c:v>
                </c:pt>
                <c:pt idx="15">
                  <c:v>0</c:v>
                </c:pt>
                <c:pt idx="16">
                  <c:v>1.452780408605054E-2</c:v>
                </c:pt>
                <c:pt idx="17">
                  <c:v>6.2180139030123495E-3</c:v>
                </c:pt>
                <c:pt idx="18">
                  <c:v>2.0493704440026628E-2</c:v>
                </c:pt>
                <c:pt idx="19">
                  <c:v>2.2566034060100326E-2</c:v>
                </c:pt>
                <c:pt idx="20">
                  <c:v>5.763093971771837E-3</c:v>
                </c:pt>
                <c:pt idx="21">
                  <c:v>-1.5122336227308632E-2</c:v>
                </c:pt>
                <c:pt idx="22">
                  <c:v>-1.7406077702269436E-2</c:v>
                </c:pt>
              </c:numCache>
            </c:numRef>
          </c:val>
          <c:smooth val="0"/>
          <c:extLst>
            <c:ext xmlns:c16="http://schemas.microsoft.com/office/drawing/2014/chart" uri="{C3380CC4-5D6E-409C-BE32-E72D297353CC}">
              <c16:uniqueId val="{00000001-80D1-4AB0-8F00-024623B28667}"/>
            </c:ext>
          </c:extLst>
        </c:ser>
        <c:dLbls>
          <c:showLegendKey val="0"/>
          <c:showVal val="0"/>
          <c:showCatName val="0"/>
          <c:showSerName val="0"/>
          <c:showPercent val="0"/>
          <c:showBubbleSize val="0"/>
        </c:dLbls>
        <c:marker val="1"/>
        <c:smooth val="0"/>
        <c:axId val="576692104"/>
        <c:axId val="576691776"/>
      </c:lineChart>
      <c:catAx>
        <c:axId val="576692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682592"/>
        <c:crosses val="autoZero"/>
        <c:auto val="1"/>
        <c:lblAlgn val="ctr"/>
        <c:lblOffset val="100"/>
        <c:noMultiLvlLbl val="0"/>
      </c:catAx>
      <c:valAx>
        <c:axId val="576682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692432"/>
        <c:crosses val="autoZero"/>
        <c:crossBetween val="between"/>
      </c:valAx>
      <c:valAx>
        <c:axId val="576691776"/>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692104"/>
        <c:crosses val="max"/>
        <c:crossBetween val="between"/>
      </c:valAx>
      <c:catAx>
        <c:axId val="576692104"/>
        <c:scaling>
          <c:orientation val="minMax"/>
        </c:scaling>
        <c:delete val="1"/>
        <c:axPos val="b"/>
        <c:numFmt formatCode="General" sourceLinked="1"/>
        <c:majorTickMark val="none"/>
        <c:minorTickMark val="none"/>
        <c:tickLblPos val="nextTo"/>
        <c:crossAx val="57669177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'Ana-4'!$BE$4</c:f>
              <c:strCache>
                <c:ptCount val="1"/>
                <c:pt idx="0">
                  <c:v>Sum of Education category</c:v>
                </c:pt>
              </c:strCache>
            </c:strRef>
          </c:tx>
          <c:spPr>
            <a:solidFill>
              <a:schemeClr val="accent1"/>
            </a:solidFill>
            <a:ln>
              <a:noFill/>
            </a:ln>
            <a:effectLst/>
          </c:spPr>
          <c:invertIfNegative val="0"/>
          <c:cat>
            <c:strRef>
              <c:f>'Ana-4'!$BD$5:$BD$28</c:f>
              <c:strCache>
                <c:ptCount val="24"/>
                <c:pt idx="0">
                  <c:v>2019 March </c:v>
                </c:pt>
                <c:pt idx="1">
                  <c:v>2019 May</c:v>
                </c:pt>
                <c:pt idx="2">
                  <c:v>2019 June</c:v>
                </c:pt>
                <c:pt idx="3">
                  <c:v>2019 July</c:v>
                </c:pt>
                <c:pt idx="4">
                  <c:v>2019 August</c:v>
                </c:pt>
                <c:pt idx="5">
                  <c:v>2019 September</c:v>
                </c:pt>
                <c:pt idx="6">
                  <c:v>2019 October</c:v>
                </c:pt>
                <c:pt idx="7">
                  <c:v>2019 November</c:v>
                </c:pt>
                <c:pt idx="8">
                  <c:v>2019 December</c:v>
                </c:pt>
                <c:pt idx="9">
                  <c:v>2020 January</c:v>
                </c:pt>
                <c:pt idx="10">
                  <c:v>2020 February</c:v>
                </c:pt>
                <c:pt idx="11">
                  <c:v>2020 March</c:v>
                </c:pt>
                <c:pt idx="12">
                  <c:v>2020 April</c:v>
                </c:pt>
                <c:pt idx="13">
                  <c:v>2020 May</c:v>
                </c:pt>
                <c:pt idx="14">
                  <c:v>2020 June</c:v>
                </c:pt>
                <c:pt idx="15">
                  <c:v>2020 July</c:v>
                </c:pt>
                <c:pt idx="16">
                  <c:v>2020 August</c:v>
                </c:pt>
                <c:pt idx="17">
                  <c:v>2020 September</c:v>
                </c:pt>
                <c:pt idx="18">
                  <c:v>2020 October</c:v>
                </c:pt>
                <c:pt idx="19">
                  <c:v>2020 November</c:v>
                </c:pt>
                <c:pt idx="20">
                  <c:v>2020 December</c:v>
                </c:pt>
                <c:pt idx="21">
                  <c:v>2021 January</c:v>
                </c:pt>
                <c:pt idx="22">
                  <c:v>2021 February</c:v>
                </c:pt>
                <c:pt idx="23">
                  <c:v>2021 March</c:v>
                </c:pt>
              </c:strCache>
            </c:strRef>
          </c:cat>
          <c:val>
            <c:numRef>
              <c:f>'Ana-4'!$BE$5:$BE$28</c:f>
              <c:numCache>
                <c:formatCode>General</c:formatCode>
                <c:ptCount val="24"/>
                <c:pt idx="0">
                  <c:v>452.5</c:v>
                </c:pt>
                <c:pt idx="1">
                  <c:v>456.29999999999995</c:v>
                </c:pt>
                <c:pt idx="2">
                  <c:v>459.1</c:v>
                </c:pt>
                <c:pt idx="3">
                  <c:v>463.5</c:v>
                </c:pt>
                <c:pt idx="4">
                  <c:v>466.1</c:v>
                </c:pt>
                <c:pt idx="5">
                  <c:v>466.99999999999994</c:v>
                </c:pt>
                <c:pt idx="6">
                  <c:v>467.79999999999995</c:v>
                </c:pt>
                <c:pt idx="7">
                  <c:v>468.1</c:v>
                </c:pt>
                <c:pt idx="8">
                  <c:v>468.7</c:v>
                </c:pt>
                <c:pt idx="9">
                  <c:v>469.9</c:v>
                </c:pt>
                <c:pt idx="10">
                  <c:v>470.3</c:v>
                </c:pt>
                <c:pt idx="11">
                  <c:v>469.79999999999995</c:v>
                </c:pt>
                <c:pt idx="12" formatCode="0.00">
                  <c:v>468.89531250000005</c:v>
                </c:pt>
                <c:pt idx="13" formatCode="0.00">
                  <c:v>470.84904785156255</c:v>
                </c:pt>
                <c:pt idx="14">
                  <c:v>470.70000000000005</c:v>
                </c:pt>
                <c:pt idx="15">
                  <c:v>470.70000000000005</c:v>
                </c:pt>
                <c:pt idx="16">
                  <c:v>476.7</c:v>
                </c:pt>
                <c:pt idx="17">
                  <c:v>473.5</c:v>
                </c:pt>
                <c:pt idx="18">
                  <c:v>476.7</c:v>
                </c:pt>
                <c:pt idx="19">
                  <c:v>476.6</c:v>
                </c:pt>
                <c:pt idx="20">
                  <c:v>479.20000000000005</c:v>
                </c:pt>
                <c:pt idx="21">
                  <c:v>478.8</c:v>
                </c:pt>
                <c:pt idx="22">
                  <c:v>479.7</c:v>
                </c:pt>
                <c:pt idx="23">
                  <c:v>481.59999999999997</c:v>
                </c:pt>
              </c:numCache>
            </c:numRef>
          </c:val>
          <c:extLst>
            <c:ext xmlns:c16="http://schemas.microsoft.com/office/drawing/2014/chart" uri="{C3380CC4-5D6E-409C-BE32-E72D297353CC}">
              <c16:uniqueId val="{00000000-F4FD-4E0D-8D66-47E27C8C8296}"/>
            </c:ext>
          </c:extLst>
        </c:ser>
        <c:dLbls>
          <c:showLegendKey val="0"/>
          <c:showVal val="0"/>
          <c:showCatName val="0"/>
          <c:showSerName val="0"/>
          <c:showPercent val="0"/>
          <c:showBubbleSize val="0"/>
        </c:dLbls>
        <c:gapWidth val="219"/>
        <c:overlap val="-27"/>
        <c:axId val="619795528"/>
        <c:axId val="619801432"/>
      </c:barChart>
      <c:lineChart>
        <c:grouping val="standard"/>
        <c:varyColors val="0"/>
        <c:ser>
          <c:idx val="1"/>
          <c:order val="1"/>
          <c:tx>
            <c:strRef>
              <c:f>'Ana-4'!$BF$4</c:f>
              <c:strCache>
                <c:ptCount val="1"/>
                <c:pt idx="0">
                  <c:v>Inflation</c:v>
                </c:pt>
              </c:strCache>
            </c:strRef>
          </c:tx>
          <c:spPr>
            <a:ln w="28575" cap="rnd">
              <a:solidFill>
                <a:schemeClr val="accent2"/>
              </a:solidFill>
              <a:round/>
            </a:ln>
            <a:effectLst/>
          </c:spPr>
          <c:marker>
            <c:symbol val="none"/>
          </c:marker>
          <c:cat>
            <c:strRef>
              <c:f>'Ana-4'!$BD$5:$BD$28</c:f>
              <c:strCache>
                <c:ptCount val="24"/>
                <c:pt idx="0">
                  <c:v>2019 March </c:v>
                </c:pt>
                <c:pt idx="1">
                  <c:v>2019 May</c:v>
                </c:pt>
                <c:pt idx="2">
                  <c:v>2019 June</c:v>
                </c:pt>
                <c:pt idx="3">
                  <c:v>2019 July</c:v>
                </c:pt>
                <c:pt idx="4">
                  <c:v>2019 August</c:v>
                </c:pt>
                <c:pt idx="5">
                  <c:v>2019 September</c:v>
                </c:pt>
                <c:pt idx="6">
                  <c:v>2019 October</c:v>
                </c:pt>
                <c:pt idx="7">
                  <c:v>2019 November</c:v>
                </c:pt>
                <c:pt idx="8">
                  <c:v>2019 December</c:v>
                </c:pt>
                <c:pt idx="9">
                  <c:v>2020 January</c:v>
                </c:pt>
                <c:pt idx="10">
                  <c:v>2020 February</c:v>
                </c:pt>
                <c:pt idx="11">
                  <c:v>2020 March</c:v>
                </c:pt>
                <c:pt idx="12">
                  <c:v>2020 April</c:v>
                </c:pt>
                <c:pt idx="13">
                  <c:v>2020 May</c:v>
                </c:pt>
                <c:pt idx="14">
                  <c:v>2020 June</c:v>
                </c:pt>
                <c:pt idx="15">
                  <c:v>2020 July</c:v>
                </c:pt>
                <c:pt idx="16">
                  <c:v>2020 August</c:v>
                </c:pt>
                <c:pt idx="17">
                  <c:v>2020 September</c:v>
                </c:pt>
                <c:pt idx="18">
                  <c:v>2020 October</c:v>
                </c:pt>
                <c:pt idx="19">
                  <c:v>2020 November</c:v>
                </c:pt>
                <c:pt idx="20">
                  <c:v>2020 December</c:v>
                </c:pt>
                <c:pt idx="21">
                  <c:v>2021 January</c:v>
                </c:pt>
                <c:pt idx="22">
                  <c:v>2021 February</c:v>
                </c:pt>
                <c:pt idx="23">
                  <c:v>2021 March</c:v>
                </c:pt>
              </c:strCache>
            </c:strRef>
          </c:cat>
          <c:val>
            <c:numRef>
              <c:f>'Ana-4'!$BF$5:$BF$28</c:f>
              <c:numCache>
                <c:formatCode>0.00%</c:formatCode>
                <c:ptCount val="24"/>
                <c:pt idx="1">
                  <c:v>8.397790055248518E-3</c:v>
                </c:pt>
                <c:pt idx="2">
                  <c:v>6.1363138286216713E-3</c:v>
                </c:pt>
                <c:pt idx="3">
                  <c:v>9.5839686342844201E-3</c:v>
                </c:pt>
                <c:pt idx="4">
                  <c:v>5.6094929881338141E-3</c:v>
                </c:pt>
                <c:pt idx="5">
                  <c:v>1.9309161124220562E-3</c:v>
                </c:pt>
                <c:pt idx="6">
                  <c:v>1.7130620985010953E-3</c:v>
                </c:pt>
                <c:pt idx="7">
                  <c:v>6.4129970072695217E-4</c:v>
                </c:pt>
                <c:pt idx="8">
                  <c:v>1.2817773979918092E-3</c:v>
                </c:pt>
                <c:pt idx="9">
                  <c:v>2.560273095796861E-3</c:v>
                </c:pt>
                <c:pt idx="10">
                  <c:v>8.5124494573320737E-4</c:v>
                </c:pt>
                <c:pt idx="11">
                  <c:v>-1.0631511800979307E-3</c:v>
                </c:pt>
                <c:pt idx="12">
                  <c:v>-1.9256864623242E-3</c:v>
                </c:pt>
                <c:pt idx="13">
                  <c:v>4.166677080105167E-3</c:v>
                </c:pt>
                <c:pt idx="14">
                  <c:v>-3.1655124342417289E-4</c:v>
                </c:pt>
                <c:pt idx="15">
                  <c:v>0</c:v>
                </c:pt>
                <c:pt idx="16">
                  <c:v>1.2746972594008801E-2</c:v>
                </c:pt>
                <c:pt idx="17">
                  <c:v>-6.7128172855044866E-3</c:v>
                </c:pt>
                <c:pt idx="18">
                  <c:v>6.7581837381203557E-3</c:v>
                </c:pt>
                <c:pt idx="19">
                  <c:v>-2.0977554017194441E-4</c:v>
                </c:pt>
                <c:pt idx="20">
                  <c:v>5.455308434746166E-3</c:v>
                </c:pt>
                <c:pt idx="21">
                  <c:v>-8.3472454090157354E-4</c:v>
                </c:pt>
                <c:pt idx="22">
                  <c:v>1.8796992481202532E-3</c:v>
                </c:pt>
                <c:pt idx="23">
                  <c:v>3.9608088388575716E-3</c:v>
                </c:pt>
              </c:numCache>
            </c:numRef>
          </c:val>
          <c:smooth val="0"/>
          <c:extLst>
            <c:ext xmlns:c16="http://schemas.microsoft.com/office/drawing/2014/chart" uri="{C3380CC4-5D6E-409C-BE32-E72D297353CC}">
              <c16:uniqueId val="{00000001-F4FD-4E0D-8D66-47E27C8C8296}"/>
            </c:ext>
          </c:extLst>
        </c:ser>
        <c:dLbls>
          <c:showLegendKey val="0"/>
          <c:showVal val="0"/>
          <c:showCatName val="0"/>
          <c:showSerName val="0"/>
          <c:showPercent val="0"/>
          <c:showBubbleSize val="0"/>
        </c:dLbls>
        <c:marker val="1"/>
        <c:smooth val="0"/>
        <c:axId val="674565600"/>
        <c:axId val="674563960"/>
      </c:lineChart>
      <c:catAx>
        <c:axId val="619795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801432"/>
        <c:crosses val="autoZero"/>
        <c:auto val="1"/>
        <c:lblAlgn val="ctr"/>
        <c:lblOffset val="100"/>
        <c:noMultiLvlLbl val="0"/>
      </c:catAx>
      <c:valAx>
        <c:axId val="619801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795528"/>
        <c:crosses val="autoZero"/>
        <c:crossBetween val="between"/>
      </c:valAx>
      <c:valAx>
        <c:axId val="674563960"/>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4565600"/>
        <c:crosses val="max"/>
        <c:crossBetween val="between"/>
      </c:valAx>
      <c:catAx>
        <c:axId val="674565600"/>
        <c:scaling>
          <c:orientation val="minMax"/>
        </c:scaling>
        <c:delete val="1"/>
        <c:axPos val="b"/>
        <c:numFmt formatCode="General" sourceLinked="1"/>
        <c:majorTickMark val="none"/>
        <c:minorTickMark val="none"/>
        <c:tickLblPos val="nextTo"/>
        <c:crossAx val="67456396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Cruid</a:t>
            </a:r>
            <a:r>
              <a:rPr lang="en-IN" baseline="0"/>
              <a:t> Oil Fluctuation</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'Ana-5'!$I$4</c:f>
              <c:strCache>
                <c:ptCount val="1"/>
                <c:pt idx="0">
                  <c:v>Cruid Oil Price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'Ana-5'!$H$5:$H$16</c:f>
              <c:strCache>
                <c:ptCount val="12"/>
                <c:pt idx="0">
                  <c:v>2022 April</c:v>
                </c:pt>
                <c:pt idx="1">
                  <c:v>2022 May </c:v>
                </c:pt>
                <c:pt idx="2">
                  <c:v>2022 June</c:v>
                </c:pt>
                <c:pt idx="3">
                  <c:v>2022 July </c:v>
                </c:pt>
                <c:pt idx="4">
                  <c:v>2022 August</c:v>
                </c:pt>
                <c:pt idx="5">
                  <c:v>2022 September </c:v>
                </c:pt>
                <c:pt idx="6">
                  <c:v>2022 October</c:v>
                </c:pt>
                <c:pt idx="7">
                  <c:v>2022 November</c:v>
                </c:pt>
                <c:pt idx="8">
                  <c:v>2022 December</c:v>
                </c:pt>
                <c:pt idx="9">
                  <c:v>2023 January </c:v>
                </c:pt>
                <c:pt idx="10">
                  <c:v>2023 February </c:v>
                </c:pt>
                <c:pt idx="11">
                  <c:v>2023 March</c:v>
                </c:pt>
              </c:strCache>
            </c:strRef>
          </c:cat>
          <c:val>
            <c:numRef>
              <c:f>'Ana-5'!$I$5:$I$16</c:f>
              <c:numCache>
                <c:formatCode>_ * #,##0.0_ ;_ * \-#,##0.0_ ;_ * "-"??_ ;_ @_ </c:formatCode>
                <c:ptCount val="12"/>
                <c:pt idx="0">
                  <c:v>21626.169696185003</c:v>
                </c:pt>
                <c:pt idx="1">
                  <c:v>19644.253621534997</c:v>
                </c:pt>
                <c:pt idx="2">
                  <c:v>19209.652005542004</c:v>
                </c:pt>
                <c:pt idx="3">
                  <c:v>20624.253959481997</c:v>
                </c:pt>
                <c:pt idx="4">
                  <c:v>17637.212315264998</c:v>
                </c:pt>
                <c:pt idx="5">
                  <c:v>16772.209972765002</c:v>
                </c:pt>
                <c:pt idx="6">
                  <c:v>18123.446675544998</c:v>
                </c:pt>
                <c:pt idx="7">
                  <c:v>19003.280854934001</c:v>
                </c:pt>
                <c:pt idx="8">
                  <c:v>19617.709583499</c:v>
                </c:pt>
                <c:pt idx="9">
                  <c:v>20229.309738625001</c:v>
                </c:pt>
                <c:pt idx="10">
                  <c:v>19284.873472954998</c:v>
                </c:pt>
                <c:pt idx="11">
                  <c:v>20928.040082494001</c:v>
                </c:pt>
              </c:numCache>
            </c:numRef>
          </c:val>
          <c:extLst>
            <c:ext xmlns:c16="http://schemas.microsoft.com/office/drawing/2014/chart" uri="{C3380CC4-5D6E-409C-BE32-E72D297353CC}">
              <c16:uniqueId val="{00000000-31E3-4947-BB82-3317A723EA78}"/>
            </c:ext>
          </c:extLst>
        </c:ser>
        <c:dLbls>
          <c:showLegendKey val="0"/>
          <c:showVal val="0"/>
          <c:showCatName val="0"/>
          <c:showSerName val="0"/>
          <c:showPercent val="0"/>
          <c:showBubbleSize val="0"/>
        </c:dLbls>
        <c:gapWidth val="219"/>
        <c:overlap val="-27"/>
        <c:axId val="619802744"/>
        <c:axId val="619805040"/>
      </c:barChart>
      <c:lineChart>
        <c:grouping val="standard"/>
        <c:varyColors val="0"/>
        <c:ser>
          <c:idx val="1"/>
          <c:order val="1"/>
          <c:tx>
            <c:strRef>
              <c:f>'Ana-5'!$J$4</c:f>
              <c:strCache>
                <c:ptCount val="1"/>
                <c:pt idx="0">
                  <c:v>Fluctuation</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strRef>
              <c:f>'Ana-5'!$H$5:$H$16</c:f>
              <c:strCache>
                <c:ptCount val="12"/>
                <c:pt idx="0">
                  <c:v>2022 April</c:v>
                </c:pt>
                <c:pt idx="1">
                  <c:v>2022 May </c:v>
                </c:pt>
                <c:pt idx="2">
                  <c:v>2022 June</c:v>
                </c:pt>
                <c:pt idx="3">
                  <c:v>2022 July </c:v>
                </c:pt>
                <c:pt idx="4">
                  <c:v>2022 August</c:v>
                </c:pt>
                <c:pt idx="5">
                  <c:v>2022 September </c:v>
                </c:pt>
                <c:pt idx="6">
                  <c:v>2022 October</c:v>
                </c:pt>
                <c:pt idx="7">
                  <c:v>2022 November</c:v>
                </c:pt>
                <c:pt idx="8">
                  <c:v>2022 December</c:v>
                </c:pt>
                <c:pt idx="9">
                  <c:v>2023 January </c:v>
                </c:pt>
                <c:pt idx="10">
                  <c:v>2023 February </c:v>
                </c:pt>
                <c:pt idx="11">
                  <c:v>2023 March</c:v>
                </c:pt>
              </c:strCache>
            </c:strRef>
          </c:cat>
          <c:val>
            <c:numRef>
              <c:f>'Ana-5'!$J$5:$J$16</c:f>
              <c:numCache>
                <c:formatCode>0.00%</c:formatCode>
                <c:ptCount val="12"/>
                <c:pt idx="1">
                  <c:v>-9.164434120757077E-2</c:v>
                </c:pt>
                <c:pt idx="2">
                  <c:v>-2.2123600334530476E-2</c:v>
                </c:pt>
                <c:pt idx="3">
                  <c:v>7.3640165554892875E-2</c:v>
                </c:pt>
                <c:pt idx="4">
                  <c:v>-0.14483150033379544</c:v>
                </c:pt>
                <c:pt idx="5">
                  <c:v>-4.9044164522039413E-2</c:v>
                </c:pt>
                <c:pt idx="6">
                  <c:v>8.0564022569128133E-2</c:v>
                </c:pt>
                <c:pt idx="7">
                  <c:v>4.8546735901853239E-2</c:v>
                </c:pt>
                <c:pt idx="8">
                  <c:v>3.2332771022824142E-2</c:v>
                </c:pt>
                <c:pt idx="9">
                  <c:v>3.1175920538676714E-2</c:v>
                </c:pt>
                <c:pt idx="10">
                  <c:v>-4.6686529489769785E-2</c:v>
                </c:pt>
                <c:pt idx="11">
                  <c:v>8.5204946345298599E-2</c:v>
                </c:pt>
              </c:numCache>
            </c:numRef>
          </c:val>
          <c:smooth val="0"/>
          <c:extLst>
            <c:ext xmlns:c16="http://schemas.microsoft.com/office/drawing/2014/chart" uri="{C3380CC4-5D6E-409C-BE32-E72D297353CC}">
              <c16:uniqueId val="{00000001-31E3-4947-BB82-3317A723EA78}"/>
            </c:ext>
          </c:extLst>
        </c:ser>
        <c:dLbls>
          <c:showLegendKey val="0"/>
          <c:showVal val="0"/>
          <c:showCatName val="0"/>
          <c:showSerName val="0"/>
          <c:showPercent val="0"/>
          <c:showBubbleSize val="0"/>
        </c:dLbls>
        <c:marker val="1"/>
        <c:smooth val="0"/>
        <c:axId val="619807336"/>
        <c:axId val="619806680"/>
      </c:lineChart>
      <c:catAx>
        <c:axId val="6198027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9805040"/>
        <c:crosses val="autoZero"/>
        <c:auto val="1"/>
        <c:lblAlgn val="ctr"/>
        <c:lblOffset val="100"/>
        <c:noMultiLvlLbl val="0"/>
      </c:catAx>
      <c:valAx>
        <c:axId val="619805040"/>
        <c:scaling>
          <c:orientation val="minMax"/>
        </c:scaling>
        <c:delete val="0"/>
        <c:axPos val="l"/>
        <c:majorGridlines>
          <c:spPr>
            <a:ln w="9525" cap="flat" cmpd="sng" algn="ctr">
              <a:solidFill>
                <a:schemeClr val="lt1">
                  <a:lumMod val="95000"/>
                  <a:alpha val="10000"/>
                </a:schemeClr>
              </a:solidFill>
              <a:round/>
            </a:ln>
            <a:effectLst/>
          </c:spPr>
        </c:majorGridlines>
        <c:numFmt formatCode="_ * #,##0.0_ ;_ * \-#,##0.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9802744"/>
        <c:crosses val="autoZero"/>
        <c:crossBetween val="between"/>
      </c:valAx>
      <c:valAx>
        <c:axId val="619806680"/>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9807336"/>
        <c:crosses val="max"/>
        <c:crossBetween val="between"/>
      </c:valAx>
      <c:catAx>
        <c:axId val="619807336"/>
        <c:scaling>
          <c:orientation val="minMax"/>
        </c:scaling>
        <c:delete val="1"/>
        <c:axPos val="b"/>
        <c:numFmt formatCode="General" sourceLinked="1"/>
        <c:majorTickMark val="none"/>
        <c:minorTickMark val="none"/>
        <c:tickLblPos val="nextTo"/>
        <c:crossAx val="61980668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Cruid</a:t>
            </a:r>
            <a:r>
              <a:rPr lang="en-IN" baseline="0"/>
              <a:t> Oil Fluctuation</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'Ana-5'!$I$20</c:f>
              <c:strCache>
                <c:ptCount val="1"/>
                <c:pt idx="0">
                  <c:v>Cruid Oil Price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'Ana-5'!$H$21:$H$32</c:f>
              <c:strCache>
                <c:ptCount val="12"/>
                <c:pt idx="0">
                  <c:v>2021 April</c:v>
                </c:pt>
                <c:pt idx="1">
                  <c:v>2021 May </c:v>
                </c:pt>
                <c:pt idx="2">
                  <c:v>2021 June</c:v>
                </c:pt>
                <c:pt idx="3">
                  <c:v>2021 July </c:v>
                </c:pt>
                <c:pt idx="4">
                  <c:v>2021 August</c:v>
                </c:pt>
                <c:pt idx="5">
                  <c:v>2021 September </c:v>
                </c:pt>
                <c:pt idx="6">
                  <c:v>2021 October</c:v>
                </c:pt>
                <c:pt idx="7">
                  <c:v>2021 November</c:v>
                </c:pt>
                <c:pt idx="8">
                  <c:v>2021 December</c:v>
                </c:pt>
                <c:pt idx="9">
                  <c:v>2022 January </c:v>
                </c:pt>
                <c:pt idx="10">
                  <c:v>2022 February </c:v>
                </c:pt>
                <c:pt idx="11">
                  <c:v>2022 March</c:v>
                </c:pt>
              </c:strCache>
            </c:strRef>
          </c:cat>
          <c:val>
            <c:numRef>
              <c:f>'Ana-5'!$I$21:$I$32</c:f>
              <c:numCache>
                <c:formatCode>_ * #,##0.0_ ;_ * \-#,##0.0_ ;_ * "-"??_ ;_ @_ </c:formatCode>
                <c:ptCount val="12"/>
                <c:pt idx="0">
                  <c:v>18256.492266788002</c:v>
                </c:pt>
                <c:pt idx="1">
                  <c:v>17259.238289191999</c:v>
                </c:pt>
                <c:pt idx="2">
                  <c:v>15904.74071692</c:v>
                </c:pt>
                <c:pt idx="3">
                  <c:v>15021.215412387</c:v>
                </c:pt>
                <c:pt idx="4">
                  <c:v>17386.686679644998</c:v>
                </c:pt>
                <c:pt idx="5">
                  <c:v>17607.534813625</c:v>
                </c:pt>
                <c:pt idx="6">
                  <c:v>17084.174631723999</c:v>
                </c:pt>
                <c:pt idx="7">
                  <c:v>18340.381595481929</c:v>
                </c:pt>
                <c:pt idx="8">
                  <c:v>19648.115803371995</c:v>
                </c:pt>
                <c:pt idx="9">
                  <c:v>19253.803364503616</c:v>
                </c:pt>
                <c:pt idx="10">
                  <c:v>17588.537024211</c:v>
                </c:pt>
                <c:pt idx="11">
                  <c:v>19030.701838389999</c:v>
                </c:pt>
              </c:numCache>
            </c:numRef>
          </c:val>
          <c:extLst>
            <c:ext xmlns:c16="http://schemas.microsoft.com/office/drawing/2014/chart" uri="{C3380CC4-5D6E-409C-BE32-E72D297353CC}">
              <c16:uniqueId val="{00000000-68A4-4168-A60B-2C7FB41CC193}"/>
            </c:ext>
          </c:extLst>
        </c:ser>
        <c:dLbls>
          <c:showLegendKey val="0"/>
          <c:showVal val="0"/>
          <c:showCatName val="0"/>
          <c:showSerName val="0"/>
          <c:showPercent val="0"/>
          <c:showBubbleSize val="0"/>
        </c:dLbls>
        <c:gapWidth val="219"/>
        <c:overlap val="-27"/>
        <c:axId val="621449184"/>
        <c:axId val="621447544"/>
      </c:barChart>
      <c:lineChart>
        <c:grouping val="standard"/>
        <c:varyColors val="0"/>
        <c:ser>
          <c:idx val="1"/>
          <c:order val="1"/>
          <c:tx>
            <c:strRef>
              <c:f>'Ana-5'!$J$20</c:f>
              <c:strCache>
                <c:ptCount val="1"/>
                <c:pt idx="0">
                  <c:v>Fluctuation</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strRef>
              <c:f>'Ana-5'!$H$21:$H$32</c:f>
              <c:strCache>
                <c:ptCount val="12"/>
                <c:pt idx="0">
                  <c:v>2021 April</c:v>
                </c:pt>
                <c:pt idx="1">
                  <c:v>2021 May </c:v>
                </c:pt>
                <c:pt idx="2">
                  <c:v>2021 June</c:v>
                </c:pt>
                <c:pt idx="3">
                  <c:v>2021 July </c:v>
                </c:pt>
                <c:pt idx="4">
                  <c:v>2021 August</c:v>
                </c:pt>
                <c:pt idx="5">
                  <c:v>2021 September </c:v>
                </c:pt>
                <c:pt idx="6">
                  <c:v>2021 October</c:v>
                </c:pt>
                <c:pt idx="7">
                  <c:v>2021 November</c:v>
                </c:pt>
                <c:pt idx="8">
                  <c:v>2021 December</c:v>
                </c:pt>
                <c:pt idx="9">
                  <c:v>2022 January </c:v>
                </c:pt>
                <c:pt idx="10">
                  <c:v>2022 February </c:v>
                </c:pt>
                <c:pt idx="11">
                  <c:v>2022 March</c:v>
                </c:pt>
              </c:strCache>
            </c:strRef>
          </c:cat>
          <c:val>
            <c:numRef>
              <c:f>'Ana-5'!$J$21:$J$32</c:f>
              <c:numCache>
                <c:formatCode>0.00%</c:formatCode>
                <c:ptCount val="12"/>
                <c:pt idx="1">
                  <c:v>-5.4624621368815518E-2</c:v>
                </c:pt>
                <c:pt idx="2">
                  <c:v>-7.8479568424535073E-2</c:v>
                </c:pt>
                <c:pt idx="3">
                  <c:v>-5.5551066204623828E-2</c:v>
                </c:pt>
                <c:pt idx="4">
                  <c:v>0.15747535750717948</c:v>
                </c:pt>
                <c:pt idx="5">
                  <c:v>1.2702140324329533E-2</c:v>
                </c:pt>
                <c:pt idx="6">
                  <c:v>-2.972364884924239E-2</c:v>
                </c:pt>
                <c:pt idx="7">
                  <c:v>7.3530445036850064E-2</c:v>
                </c:pt>
                <c:pt idx="8">
                  <c:v>7.1303544099225291E-2</c:v>
                </c:pt>
                <c:pt idx="9">
                  <c:v>-2.0068715128435242E-2</c:v>
                </c:pt>
                <c:pt idx="10">
                  <c:v>-8.6490253835390607E-2</c:v>
                </c:pt>
                <c:pt idx="11">
                  <c:v>8.1994586144022566E-2</c:v>
                </c:pt>
              </c:numCache>
            </c:numRef>
          </c:val>
          <c:smooth val="0"/>
          <c:extLst>
            <c:ext xmlns:c16="http://schemas.microsoft.com/office/drawing/2014/chart" uri="{C3380CC4-5D6E-409C-BE32-E72D297353CC}">
              <c16:uniqueId val="{00000001-68A4-4168-A60B-2C7FB41CC193}"/>
            </c:ext>
          </c:extLst>
        </c:ser>
        <c:dLbls>
          <c:showLegendKey val="0"/>
          <c:showVal val="0"/>
          <c:showCatName val="0"/>
          <c:showSerName val="0"/>
          <c:showPercent val="0"/>
          <c:showBubbleSize val="0"/>
        </c:dLbls>
        <c:marker val="1"/>
        <c:smooth val="0"/>
        <c:axId val="621446560"/>
        <c:axId val="621447872"/>
      </c:lineChart>
      <c:catAx>
        <c:axId val="6214491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1447544"/>
        <c:crosses val="autoZero"/>
        <c:auto val="1"/>
        <c:lblAlgn val="ctr"/>
        <c:lblOffset val="100"/>
        <c:noMultiLvlLbl val="0"/>
      </c:catAx>
      <c:valAx>
        <c:axId val="621447544"/>
        <c:scaling>
          <c:orientation val="minMax"/>
        </c:scaling>
        <c:delete val="0"/>
        <c:axPos val="l"/>
        <c:majorGridlines>
          <c:spPr>
            <a:ln w="9525" cap="flat" cmpd="sng" algn="ctr">
              <a:solidFill>
                <a:schemeClr val="lt1">
                  <a:lumMod val="95000"/>
                  <a:alpha val="10000"/>
                </a:schemeClr>
              </a:solidFill>
              <a:round/>
            </a:ln>
            <a:effectLst/>
          </c:spPr>
        </c:majorGridlines>
        <c:numFmt formatCode="_ * #,##0.0_ ;_ * \-#,##0.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1449184"/>
        <c:crosses val="autoZero"/>
        <c:crossBetween val="between"/>
      </c:valAx>
      <c:valAx>
        <c:axId val="621447872"/>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1446560"/>
        <c:crosses val="max"/>
        <c:crossBetween val="between"/>
      </c:valAx>
      <c:catAx>
        <c:axId val="621446560"/>
        <c:scaling>
          <c:orientation val="minMax"/>
        </c:scaling>
        <c:delete val="1"/>
        <c:axPos val="b"/>
        <c:numFmt formatCode="General" sourceLinked="1"/>
        <c:majorTickMark val="none"/>
        <c:minorTickMark val="none"/>
        <c:tickLblPos val="nextTo"/>
        <c:crossAx val="62144787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505661</xdr:colOff>
      <xdr:row>22</xdr:row>
      <xdr:rowOff>29164</xdr:rowOff>
    </xdr:to>
    <xdr:pic>
      <xdr:nvPicPr>
        <xdr:cNvPr id="2" name="Picture 1">
          <a:extLst>
            <a:ext uri="{FF2B5EF4-FFF2-40B4-BE49-F238E27FC236}">
              <a16:creationId xmlns:a16="http://schemas.microsoft.com/office/drawing/2014/main" id="{0CA854B3-41E9-4331-8481-54DD1728BCB8}"/>
            </a:ext>
          </a:extLst>
        </xdr:cNvPr>
        <xdr:cNvPicPr>
          <a:picLocks noChangeAspect="1"/>
        </xdr:cNvPicPr>
      </xdr:nvPicPr>
      <xdr:blipFill>
        <a:blip xmlns:r="http://schemas.openxmlformats.org/officeDocument/2006/relationships" r:embed="rId1"/>
        <a:stretch>
          <a:fillRect/>
        </a:stretch>
      </xdr:blipFill>
      <xdr:spPr>
        <a:xfrm>
          <a:off x="0" y="0"/>
          <a:ext cx="5992061" cy="4220164"/>
        </a:xfrm>
        <a:prstGeom prst="rect">
          <a:avLst/>
        </a:prstGeom>
      </xdr:spPr>
    </xdr:pic>
    <xdr:clientData/>
  </xdr:twoCellAnchor>
  <xdr:twoCellAnchor editAs="oneCell">
    <xdr:from>
      <xdr:col>0</xdr:col>
      <xdr:colOff>19050</xdr:colOff>
      <xdr:row>22</xdr:row>
      <xdr:rowOff>19050</xdr:rowOff>
    </xdr:from>
    <xdr:to>
      <xdr:col>10</xdr:col>
      <xdr:colOff>38100</xdr:colOff>
      <xdr:row>44</xdr:row>
      <xdr:rowOff>19050</xdr:rowOff>
    </xdr:to>
    <xdr:pic>
      <xdr:nvPicPr>
        <xdr:cNvPr id="3" name="Picture 2">
          <a:extLst>
            <a:ext uri="{FF2B5EF4-FFF2-40B4-BE49-F238E27FC236}">
              <a16:creationId xmlns:a16="http://schemas.microsoft.com/office/drawing/2014/main" id="{AEDFF93D-A887-416F-BF48-CFB8FB7906E4}"/>
            </a:ext>
          </a:extLst>
        </xdr:cNvPr>
        <xdr:cNvPicPr>
          <a:picLocks noChangeAspect="1"/>
        </xdr:cNvPicPr>
      </xdr:nvPicPr>
      <xdr:blipFill>
        <a:blip xmlns:r="http://schemas.openxmlformats.org/officeDocument/2006/relationships" r:embed="rId2"/>
        <a:stretch>
          <a:fillRect/>
        </a:stretch>
      </xdr:blipFill>
      <xdr:spPr>
        <a:xfrm>
          <a:off x="19050" y="4210050"/>
          <a:ext cx="6115050" cy="4191000"/>
        </a:xfrm>
        <a:prstGeom prst="rect">
          <a:avLst/>
        </a:prstGeom>
      </xdr:spPr>
    </xdr:pic>
    <xdr:clientData/>
  </xdr:twoCellAnchor>
  <xdr:twoCellAnchor editAs="oneCell">
    <xdr:from>
      <xdr:col>10</xdr:col>
      <xdr:colOff>0</xdr:colOff>
      <xdr:row>0</xdr:row>
      <xdr:rowOff>0</xdr:rowOff>
    </xdr:from>
    <xdr:to>
      <xdr:col>20</xdr:col>
      <xdr:colOff>38956</xdr:colOff>
      <xdr:row>20</xdr:row>
      <xdr:rowOff>152953</xdr:rowOff>
    </xdr:to>
    <xdr:pic>
      <xdr:nvPicPr>
        <xdr:cNvPr id="4" name="Picture 3">
          <a:extLst>
            <a:ext uri="{FF2B5EF4-FFF2-40B4-BE49-F238E27FC236}">
              <a16:creationId xmlns:a16="http://schemas.microsoft.com/office/drawing/2014/main" id="{76D6A79B-AFD9-4D92-926A-E23B884E4A1A}"/>
            </a:ext>
          </a:extLst>
        </xdr:cNvPr>
        <xdr:cNvPicPr>
          <a:picLocks noChangeAspect="1"/>
        </xdr:cNvPicPr>
      </xdr:nvPicPr>
      <xdr:blipFill>
        <a:blip xmlns:r="http://schemas.openxmlformats.org/officeDocument/2006/relationships" r:embed="rId3"/>
        <a:stretch>
          <a:fillRect/>
        </a:stretch>
      </xdr:blipFill>
      <xdr:spPr>
        <a:xfrm>
          <a:off x="6096000" y="0"/>
          <a:ext cx="6134956" cy="3962953"/>
        </a:xfrm>
        <a:prstGeom prst="rect">
          <a:avLst/>
        </a:prstGeom>
      </xdr:spPr>
    </xdr:pic>
    <xdr:clientData/>
  </xdr:twoCellAnchor>
  <xdr:twoCellAnchor editAs="oneCell">
    <xdr:from>
      <xdr:col>11</xdr:col>
      <xdr:colOff>38100</xdr:colOff>
      <xdr:row>22</xdr:row>
      <xdr:rowOff>19050</xdr:rowOff>
    </xdr:from>
    <xdr:to>
      <xdr:col>20</xdr:col>
      <xdr:colOff>448498</xdr:colOff>
      <xdr:row>44</xdr:row>
      <xdr:rowOff>582</xdr:rowOff>
    </xdr:to>
    <xdr:pic>
      <xdr:nvPicPr>
        <xdr:cNvPr id="5" name="Picture 4">
          <a:extLst>
            <a:ext uri="{FF2B5EF4-FFF2-40B4-BE49-F238E27FC236}">
              <a16:creationId xmlns:a16="http://schemas.microsoft.com/office/drawing/2014/main" id="{A70AD191-261D-4028-9914-9E71CBC22936}"/>
            </a:ext>
          </a:extLst>
        </xdr:cNvPr>
        <xdr:cNvPicPr>
          <a:picLocks noChangeAspect="1"/>
        </xdr:cNvPicPr>
      </xdr:nvPicPr>
      <xdr:blipFill>
        <a:blip xmlns:r="http://schemas.openxmlformats.org/officeDocument/2006/relationships" r:embed="rId4"/>
        <a:stretch>
          <a:fillRect/>
        </a:stretch>
      </xdr:blipFill>
      <xdr:spPr>
        <a:xfrm>
          <a:off x="6743700" y="4210050"/>
          <a:ext cx="5896798" cy="4172532"/>
        </a:xfrm>
        <a:prstGeom prst="rect">
          <a:avLst/>
        </a:prstGeom>
      </xdr:spPr>
    </xdr:pic>
    <xdr:clientData/>
  </xdr:twoCellAnchor>
  <xdr:twoCellAnchor editAs="oneCell">
    <xdr:from>
      <xdr:col>20</xdr:col>
      <xdr:colOff>0</xdr:colOff>
      <xdr:row>0</xdr:row>
      <xdr:rowOff>0</xdr:rowOff>
    </xdr:from>
    <xdr:to>
      <xdr:col>29</xdr:col>
      <xdr:colOff>477082</xdr:colOff>
      <xdr:row>19</xdr:row>
      <xdr:rowOff>152926</xdr:rowOff>
    </xdr:to>
    <xdr:pic>
      <xdr:nvPicPr>
        <xdr:cNvPr id="6" name="Picture 5">
          <a:extLst>
            <a:ext uri="{FF2B5EF4-FFF2-40B4-BE49-F238E27FC236}">
              <a16:creationId xmlns:a16="http://schemas.microsoft.com/office/drawing/2014/main" id="{DFCFE187-F0B0-4A31-8A46-E9A148F7D16D}"/>
            </a:ext>
          </a:extLst>
        </xdr:cNvPr>
        <xdr:cNvPicPr>
          <a:picLocks noChangeAspect="1"/>
        </xdr:cNvPicPr>
      </xdr:nvPicPr>
      <xdr:blipFill>
        <a:blip xmlns:r="http://schemas.openxmlformats.org/officeDocument/2006/relationships" r:embed="rId5"/>
        <a:stretch>
          <a:fillRect/>
        </a:stretch>
      </xdr:blipFill>
      <xdr:spPr>
        <a:xfrm>
          <a:off x="12192000" y="0"/>
          <a:ext cx="5963482" cy="377242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590550</xdr:colOff>
      <xdr:row>11</xdr:row>
      <xdr:rowOff>14286</xdr:rowOff>
    </xdr:from>
    <xdr:to>
      <xdr:col>9</xdr:col>
      <xdr:colOff>19050</xdr:colOff>
      <xdr:row>33</xdr:row>
      <xdr:rowOff>95250</xdr:rowOff>
    </xdr:to>
    <xdr:graphicFrame macro="">
      <xdr:nvGraphicFramePr>
        <xdr:cNvPr id="2" name="Chart 1">
          <a:extLst>
            <a:ext uri="{FF2B5EF4-FFF2-40B4-BE49-F238E27FC236}">
              <a16:creationId xmlns:a16="http://schemas.microsoft.com/office/drawing/2014/main" id="{321836EA-D99B-465A-96DA-8B1D28B4BD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171450</xdr:colOff>
      <xdr:row>11</xdr:row>
      <xdr:rowOff>104775</xdr:rowOff>
    </xdr:from>
    <xdr:to>
      <xdr:col>13</xdr:col>
      <xdr:colOff>0</xdr:colOff>
      <xdr:row>14</xdr:row>
      <xdr:rowOff>38100</xdr:rowOff>
    </xdr:to>
    <xdr:sp macro="" textlink="">
      <xdr:nvSpPr>
        <xdr:cNvPr id="3" name="Rectangle 2">
          <a:extLst>
            <a:ext uri="{FF2B5EF4-FFF2-40B4-BE49-F238E27FC236}">
              <a16:creationId xmlns:a16="http://schemas.microsoft.com/office/drawing/2014/main" id="{83B5313C-F3FB-4878-8A5F-3AB2AEC1E6AD}"/>
            </a:ext>
          </a:extLst>
        </xdr:cNvPr>
        <xdr:cNvSpPr/>
      </xdr:nvSpPr>
      <xdr:spPr>
        <a:xfrm>
          <a:off x="10039350" y="2200275"/>
          <a:ext cx="5934075" cy="5048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From this chart,</a:t>
          </a:r>
          <a:r>
            <a:rPr lang="en-IN" sz="1100" baseline="0"/>
            <a:t> We can understand that Food category has broader highest contribution contribution for all sector in latest month May 2023.</a:t>
          </a:r>
          <a:endParaRPr lang="en-IN" sz="1100"/>
        </a:p>
      </xdr:txBody>
    </xdr:sp>
    <xdr:clientData/>
  </xdr:twoCellAnchor>
  <xdr:twoCellAnchor>
    <xdr:from>
      <xdr:col>3</xdr:col>
      <xdr:colOff>561975</xdr:colOff>
      <xdr:row>44</xdr:row>
      <xdr:rowOff>28575</xdr:rowOff>
    </xdr:from>
    <xdr:to>
      <xdr:col>11</xdr:col>
      <xdr:colOff>85725</xdr:colOff>
      <xdr:row>46</xdr:row>
      <xdr:rowOff>47625</xdr:rowOff>
    </xdr:to>
    <xdr:sp macro="" textlink="">
      <xdr:nvSpPr>
        <xdr:cNvPr id="5" name="Rectangle 4">
          <a:extLst>
            <a:ext uri="{FF2B5EF4-FFF2-40B4-BE49-F238E27FC236}">
              <a16:creationId xmlns:a16="http://schemas.microsoft.com/office/drawing/2014/main" id="{BC30BE1E-6D59-48F3-A0DC-2E9AA9E49426}"/>
            </a:ext>
          </a:extLst>
        </xdr:cNvPr>
        <xdr:cNvSpPr/>
      </xdr:nvSpPr>
      <xdr:spPr>
        <a:xfrm>
          <a:off x="2390775" y="8410575"/>
          <a:ext cx="10563225" cy="400050"/>
        </a:xfrm>
        <a:prstGeom prst="rect">
          <a:avLst/>
        </a:prstGeom>
        <a:solidFill>
          <a:schemeClr val="accent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From</a:t>
          </a:r>
          <a:r>
            <a:rPr lang="en-IN" sz="1100" baseline="0"/>
            <a:t> this table, we can see the food has the highest contribution of broader category which is almost 51%. After that we can see, Housing has the 2nd highest contribution which is 20% we can say. Low contribution from transport &amp; R&amp;A.</a:t>
          </a:r>
          <a:endParaRPr lang="en-IN" sz="1100"/>
        </a:p>
      </xdr:txBody>
    </xdr:sp>
    <xdr:clientData/>
  </xdr:twoCellAnchor>
  <xdr:twoCellAnchor>
    <xdr:from>
      <xdr:col>11</xdr:col>
      <xdr:colOff>90487</xdr:colOff>
      <xdr:row>44</xdr:row>
      <xdr:rowOff>23812</xdr:rowOff>
    </xdr:from>
    <xdr:to>
      <xdr:col>14</xdr:col>
      <xdr:colOff>14287</xdr:colOff>
      <xdr:row>58</xdr:row>
      <xdr:rowOff>100012</xdr:rowOff>
    </xdr:to>
    <xdr:graphicFrame macro="">
      <xdr:nvGraphicFramePr>
        <xdr:cNvPr id="7" name="Chart 6">
          <a:extLst>
            <a:ext uri="{FF2B5EF4-FFF2-40B4-BE49-F238E27FC236}">
              <a16:creationId xmlns:a16="http://schemas.microsoft.com/office/drawing/2014/main" id="{F801E858-A14A-44AA-B0AD-4605FDD5E2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600075</xdr:colOff>
      <xdr:row>28</xdr:row>
      <xdr:rowOff>0</xdr:rowOff>
    </xdr:from>
    <xdr:to>
      <xdr:col>19</xdr:col>
      <xdr:colOff>190500</xdr:colOff>
      <xdr:row>30</xdr:row>
      <xdr:rowOff>161925</xdr:rowOff>
    </xdr:to>
    <xdr:sp macro="" textlink="">
      <xdr:nvSpPr>
        <xdr:cNvPr id="6" name="Rectangle 5">
          <a:extLst>
            <a:ext uri="{FF2B5EF4-FFF2-40B4-BE49-F238E27FC236}">
              <a16:creationId xmlns:a16="http://schemas.microsoft.com/office/drawing/2014/main" id="{8FC900C9-781F-432A-BA40-D61A7973BFBA}"/>
            </a:ext>
          </a:extLst>
        </xdr:cNvPr>
        <xdr:cNvSpPr/>
      </xdr:nvSpPr>
      <xdr:spPr>
        <a:xfrm>
          <a:off x="8124825" y="5334000"/>
          <a:ext cx="7048500" cy="542925"/>
        </a:xfrm>
        <a:prstGeom prst="rect">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From this</a:t>
          </a:r>
          <a:r>
            <a:rPr lang="en-IN" sz="1100" baseline="0"/>
            <a:t> table, as we can see that for the year 2020 has highest inflation rate &amp; alse we can see that for the year 2023, there's sharp decline in trends because we have data for year 2023 is upto May.</a:t>
          </a:r>
          <a:endParaRPr lang="en-IN" sz="1100"/>
        </a:p>
      </xdr:txBody>
    </xdr:sp>
    <xdr:clientData/>
  </xdr:twoCellAnchor>
  <xdr:twoCellAnchor>
    <xdr:from>
      <xdr:col>10</xdr:col>
      <xdr:colOff>19050</xdr:colOff>
      <xdr:row>11</xdr:row>
      <xdr:rowOff>28576</xdr:rowOff>
    </xdr:from>
    <xdr:to>
      <xdr:col>13</xdr:col>
      <xdr:colOff>256442</xdr:colOff>
      <xdr:row>14</xdr:row>
      <xdr:rowOff>66676</xdr:rowOff>
    </xdr:to>
    <xdr:sp macro="" textlink="">
      <xdr:nvSpPr>
        <xdr:cNvPr id="8" name="Arrow: Right 7">
          <a:extLst>
            <a:ext uri="{FF2B5EF4-FFF2-40B4-BE49-F238E27FC236}">
              <a16:creationId xmlns:a16="http://schemas.microsoft.com/office/drawing/2014/main" id="{2D1906F1-CA15-435E-84F3-205DA2FFA5D1}"/>
            </a:ext>
          </a:extLst>
        </xdr:cNvPr>
        <xdr:cNvSpPr/>
      </xdr:nvSpPr>
      <xdr:spPr>
        <a:xfrm>
          <a:off x="8188569" y="2144225"/>
          <a:ext cx="3323859" cy="615095"/>
        </a:xfrm>
        <a:prstGeom prst="right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t>Question -2</a:t>
          </a:r>
        </a:p>
      </xdr:txBody>
    </xdr:sp>
    <xdr:clientData/>
  </xdr:twoCellAnchor>
  <xdr:twoCellAnchor>
    <xdr:from>
      <xdr:col>31</xdr:col>
      <xdr:colOff>12822</xdr:colOff>
      <xdr:row>31</xdr:row>
      <xdr:rowOff>171632</xdr:rowOff>
    </xdr:from>
    <xdr:to>
      <xdr:col>38</xdr:col>
      <xdr:colOff>91587</xdr:colOff>
      <xdr:row>45</xdr:row>
      <xdr:rowOff>119063</xdr:rowOff>
    </xdr:to>
    <xdr:graphicFrame macro="">
      <xdr:nvGraphicFramePr>
        <xdr:cNvPr id="3" name="Chart 2">
          <a:extLst>
            <a:ext uri="{FF2B5EF4-FFF2-40B4-BE49-F238E27FC236}">
              <a16:creationId xmlns:a16="http://schemas.microsoft.com/office/drawing/2014/main" id="{A488D393-BCB7-4401-B1BA-279E74B96E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0</xdr:colOff>
      <xdr:row>42</xdr:row>
      <xdr:rowOff>0</xdr:rowOff>
    </xdr:from>
    <xdr:to>
      <xdr:col>30</xdr:col>
      <xdr:colOff>870072</xdr:colOff>
      <xdr:row>45</xdr:row>
      <xdr:rowOff>91587</xdr:rowOff>
    </xdr:to>
    <xdr:sp macro="" textlink="">
      <xdr:nvSpPr>
        <xdr:cNvPr id="4" name="Rectangle: Rounded Corners 3">
          <a:extLst>
            <a:ext uri="{FF2B5EF4-FFF2-40B4-BE49-F238E27FC236}">
              <a16:creationId xmlns:a16="http://schemas.microsoft.com/office/drawing/2014/main" id="{54CE9DD9-96AB-46E3-AA94-A95F0B951302}"/>
            </a:ext>
          </a:extLst>
        </xdr:cNvPr>
        <xdr:cNvSpPr/>
      </xdr:nvSpPr>
      <xdr:spPr>
        <a:xfrm>
          <a:off x="21312188" y="8123726"/>
          <a:ext cx="2683485" cy="66858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From this analysis,</a:t>
          </a:r>
          <a:r>
            <a:rPr lang="en-IN" sz="1100" baseline="0"/>
            <a:t> we got to understand that for food category 2020 has highest inflation as compare to all other years.</a:t>
          </a:r>
          <a:endParaRPr lang="en-IN" sz="1100"/>
        </a:p>
      </xdr:txBody>
    </xdr:sp>
    <xdr:clientData/>
  </xdr:twoCellAnchor>
  <xdr:twoCellAnchor>
    <xdr:from>
      <xdr:col>13</xdr:col>
      <xdr:colOff>3663</xdr:colOff>
      <xdr:row>13</xdr:row>
      <xdr:rowOff>180790</xdr:rowOff>
    </xdr:from>
    <xdr:to>
      <xdr:col>19</xdr:col>
      <xdr:colOff>183174</xdr:colOff>
      <xdr:row>28</xdr:row>
      <xdr:rowOff>27476</xdr:rowOff>
    </xdr:to>
    <xdr:graphicFrame macro="">
      <xdr:nvGraphicFramePr>
        <xdr:cNvPr id="2" name="Chart 1">
          <a:extLst>
            <a:ext uri="{FF2B5EF4-FFF2-40B4-BE49-F238E27FC236}">
              <a16:creationId xmlns:a16="http://schemas.microsoft.com/office/drawing/2014/main" id="{0B99EB52-147C-4155-90B9-EAF25C638D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609599</xdr:colOff>
      <xdr:row>17</xdr:row>
      <xdr:rowOff>19049</xdr:rowOff>
    </xdr:from>
    <xdr:to>
      <xdr:col>9</xdr:col>
      <xdr:colOff>1162049</xdr:colOff>
      <xdr:row>19</xdr:row>
      <xdr:rowOff>161924</xdr:rowOff>
    </xdr:to>
    <xdr:sp macro="" textlink="">
      <xdr:nvSpPr>
        <xdr:cNvPr id="4" name="Rectangle 3">
          <a:extLst>
            <a:ext uri="{FF2B5EF4-FFF2-40B4-BE49-F238E27FC236}">
              <a16:creationId xmlns:a16="http://schemas.microsoft.com/office/drawing/2014/main" id="{7169C221-D258-4210-AFAA-4872734F900C}"/>
            </a:ext>
          </a:extLst>
        </xdr:cNvPr>
        <xdr:cNvSpPr/>
      </xdr:nvSpPr>
      <xdr:spPr>
        <a:xfrm>
          <a:off x="2990849" y="3257549"/>
          <a:ext cx="8086725" cy="5238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Here</a:t>
          </a:r>
          <a:r>
            <a:rPr lang="en-IN" sz="1100" baseline="0"/>
            <a:t> the analysis is from June 2022 to May 2023, And here we can see that may 2023 has highest Inflation &amp; For the month December 2022 has the lowest inflation. </a:t>
          </a:r>
          <a:endParaRPr lang="en-IN" sz="1100"/>
        </a:p>
      </xdr:txBody>
    </xdr:sp>
    <xdr:clientData/>
  </xdr:twoCellAnchor>
  <xdr:twoCellAnchor>
    <xdr:from>
      <xdr:col>3</xdr:col>
      <xdr:colOff>66675</xdr:colOff>
      <xdr:row>0</xdr:row>
      <xdr:rowOff>171451</xdr:rowOff>
    </xdr:from>
    <xdr:to>
      <xdr:col>5</xdr:col>
      <xdr:colOff>533400</xdr:colOff>
      <xdr:row>4</xdr:row>
      <xdr:rowOff>19051</xdr:rowOff>
    </xdr:to>
    <xdr:sp macro="" textlink="">
      <xdr:nvSpPr>
        <xdr:cNvPr id="5" name="Arrow: Right 4">
          <a:extLst>
            <a:ext uri="{FF2B5EF4-FFF2-40B4-BE49-F238E27FC236}">
              <a16:creationId xmlns:a16="http://schemas.microsoft.com/office/drawing/2014/main" id="{CFEF50AD-A7AB-45EE-8D62-49CBF365D7D2}"/>
            </a:ext>
          </a:extLst>
        </xdr:cNvPr>
        <xdr:cNvSpPr/>
      </xdr:nvSpPr>
      <xdr:spPr>
        <a:xfrm>
          <a:off x="1895475" y="171451"/>
          <a:ext cx="2847975" cy="609600"/>
        </a:xfrm>
        <a:prstGeom prst="right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t>Question-3</a:t>
          </a:r>
        </a:p>
      </xdr:txBody>
    </xdr:sp>
    <xdr:clientData/>
  </xdr:twoCellAnchor>
  <xdr:twoCellAnchor>
    <xdr:from>
      <xdr:col>43</xdr:col>
      <xdr:colOff>0</xdr:colOff>
      <xdr:row>16</xdr:row>
      <xdr:rowOff>9524</xdr:rowOff>
    </xdr:from>
    <xdr:to>
      <xdr:col>52</xdr:col>
      <xdr:colOff>304800</xdr:colOff>
      <xdr:row>18</xdr:row>
      <xdr:rowOff>47625</xdr:rowOff>
    </xdr:to>
    <xdr:sp macro="" textlink="">
      <xdr:nvSpPr>
        <xdr:cNvPr id="2" name="Rectangle: Diagonal Corners Rounded 1">
          <a:extLst>
            <a:ext uri="{FF2B5EF4-FFF2-40B4-BE49-F238E27FC236}">
              <a16:creationId xmlns:a16="http://schemas.microsoft.com/office/drawing/2014/main" id="{1FD1DB35-8B7C-4E5B-A74F-7205D2D70EB2}"/>
            </a:ext>
          </a:extLst>
        </xdr:cNvPr>
        <xdr:cNvSpPr/>
      </xdr:nvSpPr>
      <xdr:spPr>
        <a:xfrm>
          <a:off x="50673000" y="3057524"/>
          <a:ext cx="7400925" cy="419101"/>
        </a:xfrm>
        <a:prstGeom prst="round2DiagRect">
          <a:avLst/>
        </a:prstGeom>
        <a:solidFill>
          <a:schemeClr val="accent2">
            <a:lumMod val="75000"/>
          </a:schemeClr>
        </a:solidFill>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lang="en-IN" sz="1100"/>
            <a:t>From this table, we got to understand that from June 2022 to May2023</a:t>
          </a:r>
          <a:r>
            <a:rPr lang="en-IN" sz="1100" baseline="0"/>
            <a:t> , In food category spices has highest contribution. </a:t>
          </a:r>
          <a:endParaRPr lang="en-IN" sz="1100"/>
        </a:p>
      </xdr:txBody>
    </xdr:sp>
    <xdr:clientData/>
  </xdr:twoCellAnchor>
  <xdr:twoCellAnchor>
    <xdr:from>
      <xdr:col>7</xdr:col>
      <xdr:colOff>9525</xdr:colOff>
      <xdr:row>3</xdr:row>
      <xdr:rowOff>157162</xdr:rowOff>
    </xdr:from>
    <xdr:to>
      <xdr:col>9</xdr:col>
      <xdr:colOff>1143000</xdr:colOff>
      <xdr:row>17</xdr:row>
      <xdr:rowOff>9525</xdr:rowOff>
    </xdr:to>
    <xdr:graphicFrame macro="">
      <xdr:nvGraphicFramePr>
        <xdr:cNvPr id="3" name="Chart 2">
          <a:extLst>
            <a:ext uri="{FF2B5EF4-FFF2-40B4-BE49-F238E27FC236}">
              <a16:creationId xmlns:a16="http://schemas.microsoft.com/office/drawing/2014/main" id="{F45A547F-AC0D-4F45-913F-720E86BECD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45</xdr:col>
      <xdr:colOff>28574</xdr:colOff>
      <xdr:row>1</xdr:row>
      <xdr:rowOff>180974</xdr:rowOff>
    </xdr:from>
    <xdr:to>
      <xdr:col>52</xdr:col>
      <xdr:colOff>304799</xdr:colOff>
      <xdr:row>16</xdr:row>
      <xdr:rowOff>23811</xdr:rowOff>
    </xdr:to>
    <xdr:graphicFrame macro="">
      <xdr:nvGraphicFramePr>
        <xdr:cNvPr id="6" name="Chart 5">
          <a:extLst>
            <a:ext uri="{FF2B5EF4-FFF2-40B4-BE49-F238E27FC236}">
              <a16:creationId xmlns:a16="http://schemas.microsoft.com/office/drawing/2014/main" id="{35FE5461-BCC1-4013-A30D-344B057433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8</xdr:col>
      <xdr:colOff>19049</xdr:colOff>
      <xdr:row>4</xdr:row>
      <xdr:rowOff>28575</xdr:rowOff>
    </xdr:from>
    <xdr:to>
      <xdr:col>8</xdr:col>
      <xdr:colOff>190500</xdr:colOff>
      <xdr:row>14</xdr:row>
      <xdr:rowOff>142875</xdr:rowOff>
    </xdr:to>
    <xdr:sp macro="" textlink="">
      <xdr:nvSpPr>
        <xdr:cNvPr id="4" name="Callout: Right Arrow 3">
          <a:extLst>
            <a:ext uri="{FF2B5EF4-FFF2-40B4-BE49-F238E27FC236}">
              <a16:creationId xmlns:a16="http://schemas.microsoft.com/office/drawing/2014/main" id="{D21B69FA-F50D-4E9E-8995-B54FDD75A30C}"/>
            </a:ext>
          </a:extLst>
        </xdr:cNvPr>
        <xdr:cNvSpPr/>
      </xdr:nvSpPr>
      <xdr:spPr>
        <a:xfrm>
          <a:off x="6838949" y="790575"/>
          <a:ext cx="171451" cy="2209800"/>
        </a:xfrm>
        <a:prstGeom prst="rightArrowCallou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xdr:colOff>
      <xdr:row>15</xdr:row>
      <xdr:rowOff>171451</xdr:rowOff>
    </xdr:from>
    <xdr:to>
      <xdr:col>8</xdr:col>
      <xdr:colOff>190501</xdr:colOff>
      <xdr:row>27</xdr:row>
      <xdr:rowOff>171451</xdr:rowOff>
    </xdr:to>
    <xdr:sp macro="" textlink="">
      <xdr:nvSpPr>
        <xdr:cNvPr id="5" name="Callout: Right Arrow 4">
          <a:extLst>
            <a:ext uri="{FF2B5EF4-FFF2-40B4-BE49-F238E27FC236}">
              <a16:creationId xmlns:a16="http://schemas.microsoft.com/office/drawing/2014/main" id="{E37FE454-F14E-4721-B5CF-803A21CE493E}"/>
            </a:ext>
          </a:extLst>
        </xdr:cNvPr>
        <xdr:cNvSpPr/>
      </xdr:nvSpPr>
      <xdr:spPr>
        <a:xfrm>
          <a:off x="6819901" y="3219451"/>
          <a:ext cx="190500" cy="2286000"/>
        </a:xfrm>
        <a:prstGeom prst="rightArrowCallou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609599</xdr:colOff>
      <xdr:row>14</xdr:row>
      <xdr:rowOff>152400</xdr:rowOff>
    </xdr:from>
    <xdr:to>
      <xdr:col>8</xdr:col>
      <xdr:colOff>542924</xdr:colOff>
      <xdr:row>16</xdr:row>
      <xdr:rowOff>19050</xdr:rowOff>
    </xdr:to>
    <xdr:sp macro="" textlink="">
      <xdr:nvSpPr>
        <xdr:cNvPr id="6" name="Rectangle 5">
          <a:extLst>
            <a:ext uri="{FF2B5EF4-FFF2-40B4-BE49-F238E27FC236}">
              <a16:creationId xmlns:a16="http://schemas.microsoft.com/office/drawing/2014/main" id="{DDEEEBA4-4ACC-4FDE-B273-A242B9D8CEC8}"/>
            </a:ext>
          </a:extLst>
        </xdr:cNvPr>
        <xdr:cNvSpPr/>
      </xdr:nvSpPr>
      <xdr:spPr>
        <a:xfrm>
          <a:off x="6819899" y="3009900"/>
          <a:ext cx="542925" cy="247650"/>
        </a:xfrm>
        <a:prstGeom prst="rec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50"/>
            <a:t>Covid</a:t>
          </a:r>
        </a:p>
      </xdr:txBody>
    </xdr:sp>
    <xdr:clientData/>
  </xdr:twoCellAnchor>
  <xdr:twoCellAnchor>
    <xdr:from>
      <xdr:col>8</xdr:col>
      <xdr:colOff>209550</xdr:colOff>
      <xdr:row>9</xdr:row>
      <xdr:rowOff>9525</xdr:rowOff>
    </xdr:from>
    <xdr:to>
      <xdr:col>9</xdr:col>
      <xdr:colOff>590550</xdr:colOff>
      <xdr:row>10</xdr:row>
      <xdr:rowOff>85725</xdr:rowOff>
    </xdr:to>
    <xdr:sp macro="" textlink="">
      <xdr:nvSpPr>
        <xdr:cNvPr id="7" name="Rectangle 6">
          <a:extLst>
            <a:ext uri="{FF2B5EF4-FFF2-40B4-BE49-F238E27FC236}">
              <a16:creationId xmlns:a16="http://schemas.microsoft.com/office/drawing/2014/main" id="{E16A6D0F-B28B-4AEC-A007-5C9E9ABC406E}"/>
            </a:ext>
          </a:extLst>
        </xdr:cNvPr>
        <xdr:cNvSpPr/>
      </xdr:nvSpPr>
      <xdr:spPr>
        <a:xfrm>
          <a:off x="7029450" y="1724025"/>
          <a:ext cx="990600" cy="266700"/>
        </a:xfrm>
        <a:prstGeom prst="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Before Covid</a:t>
          </a:r>
        </a:p>
      </xdr:txBody>
    </xdr:sp>
    <xdr:clientData/>
  </xdr:twoCellAnchor>
  <xdr:twoCellAnchor>
    <xdr:from>
      <xdr:col>8</xdr:col>
      <xdr:colOff>200025</xdr:colOff>
      <xdr:row>21</xdr:row>
      <xdr:rowOff>38100</xdr:rowOff>
    </xdr:from>
    <xdr:to>
      <xdr:col>9</xdr:col>
      <xdr:colOff>533400</xdr:colOff>
      <xdr:row>22</xdr:row>
      <xdr:rowOff>114300</xdr:rowOff>
    </xdr:to>
    <xdr:sp macro="" textlink="">
      <xdr:nvSpPr>
        <xdr:cNvPr id="8" name="Rectangle 7">
          <a:extLst>
            <a:ext uri="{FF2B5EF4-FFF2-40B4-BE49-F238E27FC236}">
              <a16:creationId xmlns:a16="http://schemas.microsoft.com/office/drawing/2014/main" id="{EEF4A2B5-D8F6-4DBD-867A-BFEDA52CFB95}"/>
            </a:ext>
          </a:extLst>
        </xdr:cNvPr>
        <xdr:cNvSpPr/>
      </xdr:nvSpPr>
      <xdr:spPr>
        <a:xfrm>
          <a:off x="7019925" y="4229100"/>
          <a:ext cx="942975" cy="266700"/>
        </a:xfrm>
        <a:prstGeom prst="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Aftter</a:t>
          </a:r>
          <a:r>
            <a:rPr lang="en-IN" sz="1100" baseline="0"/>
            <a:t> </a:t>
          </a:r>
          <a:r>
            <a:rPr lang="en-IN" sz="1100"/>
            <a:t>Covid</a:t>
          </a:r>
        </a:p>
      </xdr:txBody>
    </xdr:sp>
    <xdr:clientData/>
  </xdr:twoCellAnchor>
  <xdr:twoCellAnchor>
    <xdr:from>
      <xdr:col>10</xdr:col>
      <xdr:colOff>0</xdr:colOff>
      <xdr:row>17</xdr:row>
      <xdr:rowOff>66675</xdr:rowOff>
    </xdr:from>
    <xdr:to>
      <xdr:col>17</xdr:col>
      <xdr:colOff>304800</xdr:colOff>
      <xdr:row>21</xdr:row>
      <xdr:rowOff>85725</xdr:rowOff>
    </xdr:to>
    <xdr:sp macro="" textlink="">
      <xdr:nvSpPr>
        <xdr:cNvPr id="10" name="Rectangle 9">
          <a:extLst>
            <a:ext uri="{FF2B5EF4-FFF2-40B4-BE49-F238E27FC236}">
              <a16:creationId xmlns:a16="http://schemas.microsoft.com/office/drawing/2014/main" id="{D58583D6-16AC-4269-AF6D-8C23E64066D3}"/>
            </a:ext>
          </a:extLst>
        </xdr:cNvPr>
        <xdr:cNvSpPr/>
      </xdr:nvSpPr>
      <xdr:spPr>
        <a:xfrm>
          <a:off x="8039100" y="3495675"/>
          <a:ext cx="4572000" cy="7810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As per information, March</a:t>
          </a:r>
          <a:r>
            <a:rPr lang="en-IN" sz="1100" baseline="0"/>
            <a:t> 2020 is the time of covid. So, before covid inflation trends was not so high. But after covid, in the month of May we can see the higher inflation rate in food industry. </a:t>
          </a:r>
          <a:endParaRPr lang="en-IN" sz="1100"/>
        </a:p>
      </xdr:txBody>
    </xdr:sp>
    <xdr:clientData/>
  </xdr:twoCellAnchor>
  <xdr:twoCellAnchor>
    <xdr:from>
      <xdr:col>9</xdr:col>
      <xdr:colOff>600075</xdr:colOff>
      <xdr:row>2</xdr:row>
      <xdr:rowOff>133350</xdr:rowOff>
    </xdr:from>
    <xdr:to>
      <xdr:col>17</xdr:col>
      <xdr:colOff>285750</xdr:colOff>
      <xdr:row>4</xdr:row>
      <xdr:rowOff>19050</xdr:rowOff>
    </xdr:to>
    <xdr:sp macro="" textlink="">
      <xdr:nvSpPr>
        <xdr:cNvPr id="11" name="Rectangle 10">
          <a:extLst>
            <a:ext uri="{FF2B5EF4-FFF2-40B4-BE49-F238E27FC236}">
              <a16:creationId xmlns:a16="http://schemas.microsoft.com/office/drawing/2014/main" id="{A10DE6FB-A36C-4E00-8762-D89EE95B9D0E}"/>
            </a:ext>
          </a:extLst>
        </xdr:cNvPr>
        <xdr:cNvSpPr/>
      </xdr:nvSpPr>
      <xdr:spPr>
        <a:xfrm>
          <a:off x="8029575" y="514350"/>
          <a:ext cx="4562475" cy="266700"/>
        </a:xfrm>
        <a:prstGeom prst="rec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Food</a:t>
          </a:r>
          <a:r>
            <a:rPr lang="en-IN" sz="1600" b="1" baseline="0"/>
            <a:t> category</a:t>
          </a:r>
          <a:endParaRPr lang="en-IN" sz="1600" b="1"/>
        </a:p>
      </xdr:txBody>
    </xdr:sp>
    <xdr:clientData/>
  </xdr:twoCellAnchor>
  <xdr:twoCellAnchor>
    <xdr:from>
      <xdr:col>25</xdr:col>
      <xdr:colOff>19049</xdr:colOff>
      <xdr:row>4</xdr:row>
      <xdr:rowOff>19049</xdr:rowOff>
    </xdr:from>
    <xdr:to>
      <xdr:col>25</xdr:col>
      <xdr:colOff>180975</xdr:colOff>
      <xdr:row>15</xdr:row>
      <xdr:rowOff>9524</xdr:rowOff>
    </xdr:to>
    <xdr:sp macro="" textlink="">
      <xdr:nvSpPr>
        <xdr:cNvPr id="12" name="Callout: Right Arrow 11">
          <a:extLst>
            <a:ext uri="{FF2B5EF4-FFF2-40B4-BE49-F238E27FC236}">
              <a16:creationId xmlns:a16="http://schemas.microsoft.com/office/drawing/2014/main" id="{CE2CAB34-7BC4-477B-A643-77CD40748530}"/>
            </a:ext>
          </a:extLst>
        </xdr:cNvPr>
        <xdr:cNvSpPr/>
      </xdr:nvSpPr>
      <xdr:spPr>
        <a:xfrm>
          <a:off x="18468974" y="781049"/>
          <a:ext cx="161926" cy="2276475"/>
        </a:xfrm>
        <a:prstGeom prst="rightArrowCallou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25</xdr:col>
      <xdr:colOff>28575</xdr:colOff>
      <xdr:row>15</xdr:row>
      <xdr:rowOff>28574</xdr:rowOff>
    </xdr:from>
    <xdr:to>
      <xdr:col>25</xdr:col>
      <xdr:colOff>152400</xdr:colOff>
      <xdr:row>27</xdr:row>
      <xdr:rowOff>180975</xdr:rowOff>
    </xdr:to>
    <xdr:sp macro="" textlink="">
      <xdr:nvSpPr>
        <xdr:cNvPr id="13" name="Callout: Right Arrow 12">
          <a:extLst>
            <a:ext uri="{FF2B5EF4-FFF2-40B4-BE49-F238E27FC236}">
              <a16:creationId xmlns:a16="http://schemas.microsoft.com/office/drawing/2014/main" id="{7DC92549-B3E3-445A-8845-2FB22B5C638C}"/>
            </a:ext>
          </a:extLst>
        </xdr:cNvPr>
        <xdr:cNvSpPr/>
      </xdr:nvSpPr>
      <xdr:spPr>
        <a:xfrm>
          <a:off x="18478500" y="3076574"/>
          <a:ext cx="123825" cy="2438401"/>
        </a:xfrm>
        <a:prstGeom prst="rightArrowCallou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25</xdr:col>
      <xdr:colOff>0</xdr:colOff>
      <xdr:row>15</xdr:row>
      <xdr:rowOff>19050</xdr:rowOff>
    </xdr:from>
    <xdr:to>
      <xdr:col>26</xdr:col>
      <xdr:colOff>0</xdr:colOff>
      <xdr:row>16</xdr:row>
      <xdr:rowOff>57150</xdr:rowOff>
    </xdr:to>
    <xdr:sp macro="" textlink="">
      <xdr:nvSpPr>
        <xdr:cNvPr id="17" name="Rectangle 16">
          <a:extLst>
            <a:ext uri="{FF2B5EF4-FFF2-40B4-BE49-F238E27FC236}">
              <a16:creationId xmlns:a16="http://schemas.microsoft.com/office/drawing/2014/main" id="{97A00485-CC78-436C-8138-C9C84EEC2D3B}"/>
            </a:ext>
          </a:extLst>
        </xdr:cNvPr>
        <xdr:cNvSpPr/>
      </xdr:nvSpPr>
      <xdr:spPr>
        <a:xfrm>
          <a:off x="18449925" y="3067050"/>
          <a:ext cx="609600" cy="228600"/>
        </a:xfrm>
        <a:prstGeom prst="rec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50"/>
            <a:t>Covid</a:t>
          </a:r>
        </a:p>
      </xdr:txBody>
    </xdr:sp>
    <xdr:clientData/>
  </xdr:twoCellAnchor>
  <xdr:twoCellAnchor>
    <xdr:from>
      <xdr:col>25</xdr:col>
      <xdr:colOff>190500</xdr:colOff>
      <xdr:row>8</xdr:row>
      <xdr:rowOff>0</xdr:rowOff>
    </xdr:from>
    <xdr:to>
      <xdr:col>27</xdr:col>
      <xdr:colOff>0</xdr:colOff>
      <xdr:row>9</xdr:row>
      <xdr:rowOff>76200</xdr:rowOff>
    </xdr:to>
    <xdr:sp macro="" textlink="">
      <xdr:nvSpPr>
        <xdr:cNvPr id="18" name="Rectangle 17">
          <a:extLst>
            <a:ext uri="{FF2B5EF4-FFF2-40B4-BE49-F238E27FC236}">
              <a16:creationId xmlns:a16="http://schemas.microsoft.com/office/drawing/2014/main" id="{68886054-F16D-4D40-A6EF-9B284955E439}"/>
            </a:ext>
          </a:extLst>
        </xdr:cNvPr>
        <xdr:cNvSpPr/>
      </xdr:nvSpPr>
      <xdr:spPr>
        <a:xfrm>
          <a:off x="18640425" y="1714500"/>
          <a:ext cx="1028700" cy="266700"/>
        </a:xfrm>
        <a:prstGeom prst="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Before Covid</a:t>
          </a:r>
        </a:p>
      </xdr:txBody>
    </xdr:sp>
    <xdr:clientData/>
  </xdr:twoCellAnchor>
  <xdr:twoCellAnchor>
    <xdr:from>
      <xdr:col>25</xdr:col>
      <xdr:colOff>180975</xdr:colOff>
      <xdr:row>20</xdr:row>
      <xdr:rowOff>104775</xdr:rowOff>
    </xdr:from>
    <xdr:to>
      <xdr:col>26</xdr:col>
      <xdr:colOff>600075</xdr:colOff>
      <xdr:row>21</xdr:row>
      <xdr:rowOff>180975</xdr:rowOff>
    </xdr:to>
    <xdr:sp macro="" textlink="">
      <xdr:nvSpPr>
        <xdr:cNvPr id="19" name="Rectangle 18">
          <a:extLst>
            <a:ext uri="{FF2B5EF4-FFF2-40B4-BE49-F238E27FC236}">
              <a16:creationId xmlns:a16="http://schemas.microsoft.com/office/drawing/2014/main" id="{14444E97-9014-4050-822E-97E524DE4C38}"/>
            </a:ext>
          </a:extLst>
        </xdr:cNvPr>
        <xdr:cNvSpPr/>
      </xdr:nvSpPr>
      <xdr:spPr>
        <a:xfrm>
          <a:off x="18630900" y="4105275"/>
          <a:ext cx="1028700" cy="266700"/>
        </a:xfrm>
        <a:prstGeom prst="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After Covid</a:t>
          </a:r>
        </a:p>
      </xdr:txBody>
    </xdr:sp>
    <xdr:clientData/>
  </xdr:twoCellAnchor>
  <xdr:twoCellAnchor>
    <xdr:from>
      <xdr:col>27</xdr:col>
      <xdr:colOff>19050</xdr:colOff>
      <xdr:row>3</xdr:row>
      <xdr:rowOff>0</xdr:rowOff>
    </xdr:from>
    <xdr:to>
      <xdr:col>34</xdr:col>
      <xdr:colOff>323850</xdr:colOff>
      <xdr:row>17</xdr:row>
      <xdr:rowOff>71437</xdr:rowOff>
    </xdr:to>
    <xdr:graphicFrame macro="">
      <xdr:nvGraphicFramePr>
        <xdr:cNvPr id="20" name="Chart 19">
          <a:extLst>
            <a:ext uri="{FF2B5EF4-FFF2-40B4-BE49-F238E27FC236}">
              <a16:creationId xmlns:a16="http://schemas.microsoft.com/office/drawing/2014/main" id="{0AB59241-E0DB-4F96-855E-7158F1AA3F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26</xdr:col>
      <xdr:colOff>600074</xdr:colOff>
      <xdr:row>17</xdr:row>
      <xdr:rowOff>85725</xdr:rowOff>
    </xdr:from>
    <xdr:to>
      <xdr:col>34</xdr:col>
      <xdr:colOff>361949</xdr:colOff>
      <xdr:row>21</xdr:row>
      <xdr:rowOff>104775</xdr:rowOff>
    </xdr:to>
    <xdr:sp macro="" textlink="">
      <xdr:nvSpPr>
        <xdr:cNvPr id="22" name="Rectangle 21">
          <a:extLst>
            <a:ext uri="{FF2B5EF4-FFF2-40B4-BE49-F238E27FC236}">
              <a16:creationId xmlns:a16="http://schemas.microsoft.com/office/drawing/2014/main" id="{514E2613-E8AD-4B1F-92C3-944738EF6F70}"/>
            </a:ext>
          </a:extLst>
        </xdr:cNvPr>
        <xdr:cNvSpPr/>
      </xdr:nvSpPr>
      <xdr:spPr>
        <a:xfrm>
          <a:off x="19659599" y="3514725"/>
          <a:ext cx="4638675" cy="7810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As per information, March</a:t>
          </a:r>
          <a:r>
            <a:rPr lang="en-IN" sz="1100" baseline="0"/>
            <a:t> 2020 is the time of covid.After March 2020, we can see the deflation in April2020. Righe after april, there was sharp inflation in healthcare industry</a:t>
          </a:r>
          <a:endParaRPr lang="en-IN" sz="1100"/>
        </a:p>
      </xdr:txBody>
    </xdr:sp>
    <xdr:clientData/>
  </xdr:twoCellAnchor>
  <xdr:twoCellAnchor>
    <xdr:from>
      <xdr:col>41</xdr:col>
      <xdr:colOff>9524</xdr:colOff>
      <xdr:row>3</xdr:row>
      <xdr:rowOff>190499</xdr:rowOff>
    </xdr:from>
    <xdr:to>
      <xdr:col>41</xdr:col>
      <xdr:colOff>238125</xdr:colOff>
      <xdr:row>14</xdr:row>
      <xdr:rowOff>180975</xdr:rowOff>
    </xdr:to>
    <xdr:sp macro="" textlink="">
      <xdr:nvSpPr>
        <xdr:cNvPr id="23" name="Callout: Right Arrow 22">
          <a:extLst>
            <a:ext uri="{FF2B5EF4-FFF2-40B4-BE49-F238E27FC236}">
              <a16:creationId xmlns:a16="http://schemas.microsoft.com/office/drawing/2014/main" id="{F82350C6-838A-4DC2-A813-673CC359E62A}"/>
            </a:ext>
          </a:extLst>
        </xdr:cNvPr>
        <xdr:cNvSpPr/>
      </xdr:nvSpPr>
      <xdr:spPr>
        <a:xfrm>
          <a:off x="29336999" y="761999"/>
          <a:ext cx="228601" cy="2085976"/>
        </a:xfrm>
        <a:prstGeom prst="rightArrowCallou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41</xdr:col>
      <xdr:colOff>19051</xdr:colOff>
      <xdr:row>15</xdr:row>
      <xdr:rowOff>95250</xdr:rowOff>
    </xdr:from>
    <xdr:to>
      <xdr:col>41</xdr:col>
      <xdr:colOff>200025</xdr:colOff>
      <xdr:row>28</xdr:row>
      <xdr:rowOff>19050</xdr:rowOff>
    </xdr:to>
    <xdr:sp macro="" textlink="">
      <xdr:nvSpPr>
        <xdr:cNvPr id="24" name="Callout: Right Arrow 23">
          <a:extLst>
            <a:ext uri="{FF2B5EF4-FFF2-40B4-BE49-F238E27FC236}">
              <a16:creationId xmlns:a16="http://schemas.microsoft.com/office/drawing/2014/main" id="{633748F6-BD6D-4088-8520-29351EAAF4C8}"/>
            </a:ext>
          </a:extLst>
        </xdr:cNvPr>
        <xdr:cNvSpPr/>
      </xdr:nvSpPr>
      <xdr:spPr>
        <a:xfrm>
          <a:off x="29346526" y="3143250"/>
          <a:ext cx="180974" cy="2400300"/>
        </a:xfrm>
        <a:prstGeom prst="rightArrowCallou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41</xdr:col>
      <xdr:colOff>0</xdr:colOff>
      <xdr:row>14</xdr:row>
      <xdr:rowOff>171449</xdr:rowOff>
    </xdr:from>
    <xdr:to>
      <xdr:col>42</xdr:col>
      <xdr:colOff>0</xdr:colOff>
      <xdr:row>16</xdr:row>
      <xdr:rowOff>47624</xdr:rowOff>
    </xdr:to>
    <xdr:sp macro="" textlink="">
      <xdr:nvSpPr>
        <xdr:cNvPr id="25" name="Rectangle 24">
          <a:extLst>
            <a:ext uri="{FF2B5EF4-FFF2-40B4-BE49-F238E27FC236}">
              <a16:creationId xmlns:a16="http://schemas.microsoft.com/office/drawing/2014/main" id="{FB385235-E004-439D-A9F6-1FA3D2DA0A5E}"/>
            </a:ext>
          </a:extLst>
        </xdr:cNvPr>
        <xdr:cNvSpPr/>
      </xdr:nvSpPr>
      <xdr:spPr>
        <a:xfrm>
          <a:off x="29327475" y="2838449"/>
          <a:ext cx="609600" cy="257175"/>
        </a:xfrm>
        <a:prstGeom prst="rec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t>Covid</a:t>
          </a:r>
        </a:p>
      </xdr:txBody>
    </xdr:sp>
    <xdr:clientData/>
  </xdr:twoCellAnchor>
  <xdr:twoCellAnchor>
    <xdr:from>
      <xdr:col>41</xdr:col>
      <xdr:colOff>200025</xdr:colOff>
      <xdr:row>21</xdr:row>
      <xdr:rowOff>19050</xdr:rowOff>
    </xdr:from>
    <xdr:to>
      <xdr:col>43</xdr:col>
      <xdr:colOff>9525</xdr:colOff>
      <xdr:row>22</xdr:row>
      <xdr:rowOff>95250</xdr:rowOff>
    </xdr:to>
    <xdr:sp macro="" textlink="">
      <xdr:nvSpPr>
        <xdr:cNvPr id="26" name="Rectangle 25">
          <a:extLst>
            <a:ext uri="{FF2B5EF4-FFF2-40B4-BE49-F238E27FC236}">
              <a16:creationId xmlns:a16="http://schemas.microsoft.com/office/drawing/2014/main" id="{20F5E646-95D6-46A9-8506-7C1BEBE519AA}"/>
            </a:ext>
          </a:extLst>
        </xdr:cNvPr>
        <xdr:cNvSpPr/>
      </xdr:nvSpPr>
      <xdr:spPr>
        <a:xfrm>
          <a:off x="29527500" y="4019550"/>
          <a:ext cx="1028700" cy="266700"/>
        </a:xfrm>
        <a:prstGeom prst="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After Covid</a:t>
          </a:r>
        </a:p>
      </xdr:txBody>
    </xdr:sp>
    <xdr:clientData/>
  </xdr:twoCellAnchor>
  <xdr:twoCellAnchor>
    <xdr:from>
      <xdr:col>41</xdr:col>
      <xdr:colOff>180975</xdr:colOff>
      <xdr:row>8</xdr:row>
      <xdr:rowOff>85725</xdr:rowOff>
    </xdr:from>
    <xdr:to>
      <xdr:col>42</xdr:col>
      <xdr:colOff>600075</xdr:colOff>
      <xdr:row>9</xdr:row>
      <xdr:rowOff>161925</xdr:rowOff>
    </xdr:to>
    <xdr:sp macro="" textlink="">
      <xdr:nvSpPr>
        <xdr:cNvPr id="27" name="Rectangle 26">
          <a:extLst>
            <a:ext uri="{FF2B5EF4-FFF2-40B4-BE49-F238E27FC236}">
              <a16:creationId xmlns:a16="http://schemas.microsoft.com/office/drawing/2014/main" id="{841F126D-85C2-409B-B854-0C684351065A}"/>
            </a:ext>
          </a:extLst>
        </xdr:cNvPr>
        <xdr:cNvSpPr/>
      </xdr:nvSpPr>
      <xdr:spPr>
        <a:xfrm>
          <a:off x="29508450" y="1609725"/>
          <a:ext cx="1028700" cy="266700"/>
        </a:xfrm>
        <a:prstGeom prst="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Before Covid</a:t>
          </a:r>
        </a:p>
      </xdr:txBody>
    </xdr:sp>
    <xdr:clientData/>
  </xdr:twoCellAnchor>
  <xdr:twoCellAnchor>
    <xdr:from>
      <xdr:col>43</xdr:col>
      <xdr:colOff>19050</xdr:colOff>
      <xdr:row>3</xdr:row>
      <xdr:rowOff>38100</xdr:rowOff>
    </xdr:from>
    <xdr:to>
      <xdr:col>50</xdr:col>
      <xdr:colOff>323850</xdr:colOff>
      <xdr:row>17</xdr:row>
      <xdr:rowOff>190499</xdr:rowOff>
    </xdr:to>
    <xdr:graphicFrame macro="">
      <xdr:nvGraphicFramePr>
        <xdr:cNvPr id="28" name="Chart 27">
          <a:extLst>
            <a:ext uri="{FF2B5EF4-FFF2-40B4-BE49-F238E27FC236}">
              <a16:creationId xmlns:a16="http://schemas.microsoft.com/office/drawing/2014/main" id="{BCADE34E-63A3-4707-8415-CE6A9DFFEC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0</xdr:colOff>
      <xdr:row>3</xdr:row>
      <xdr:rowOff>0</xdr:rowOff>
    </xdr:from>
    <xdr:to>
      <xdr:col>34</xdr:col>
      <xdr:colOff>295275</xdr:colOff>
      <xdr:row>4</xdr:row>
      <xdr:rowOff>76200</xdr:rowOff>
    </xdr:to>
    <xdr:sp macro="" textlink="">
      <xdr:nvSpPr>
        <xdr:cNvPr id="29" name="Rectangle 28">
          <a:extLst>
            <a:ext uri="{FF2B5EF4-FFF2-40B4-BE49-F238E27FC236}">
              <a16:creationId xmlns:a16="http://schemas.microsoft.com/office/drawing/2014/main" id="{778C97D1-EF28-481B-BE57-940EC05238EA}"/>
            </a:ext>
          </a:extLst>
        </xdr:cNvPr>
        <xdr:cNvSpPr/>
      </xdr:nvSpPr>
      <xdr:spPr>
        <a:xfrm>
          <a:off x="19669125" y="571500"/>
          <a:ext cx="4562475" cy="266700"/>
        </a:xfrm>
        <a:prstGeom prst="rec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baseline="0"/>
            <a:t>Healthcare category</a:t>
          </a:r>
          <a:endParaRPr lang="en-IN" sz="1600" b="1"/>
        </a:p>
      </xdr:txBody>
    </xdr:sp>
    <xdr:clientData/>
  </xdr:twoCellAnchor>
  <xdr:twoCellAnchor>
    <xdr:from>
      <xdr:col>43</xdr:col>
      <xdr:colOff>9525</xdr:colOff>
      <xdr:row>3</xdr:row>
      <xdr:rowOff>9525</xdr:rowOff>
    </xdr:from>
    <xdr:to>
      <xdr:col>50</xdr:col>
      <xdr:colOff>304800</xdr:colOff>
      <xdr:row>4</xdr:row>
      <xdr:rowOff>133350</xdr:rowOff>
    </xdr:to>
    <xdr:sp macro="" textlink="">
      <xdr:nvSpPr>
        <xdr:cNvPr id="30" name="Rectangle 29">
          <a:extLst>
            <a:ext uri="{FF2B5EF4-FFF2-40B4-BE49-F238E27FC236}">
              <a16:creationId xmlns:a16="http://schemas.microsoft.com/office/drawing/2014/main" id="{729096E7-9C69-4DEE-92BA-E4726C8205AC}"/>
            </a:ext>
          </a:extLst>
        </xdr:cNvPr>
        <xdr:cNvSpPr/>
      </xdr:nvSpPr>
      <xdr:spPr>
        <a:xfrm>
          <a:off x="30556200" y="581025"/>
          <a:ext cx="4562475" cy="314325"/>
        </a:xfrm>
        <a:prstGeom prst="rec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baseline="0"/>
            <a:t>Remunaration &amp; Amusement  category</a:t>
          </a:r>
          <a:endParaRPr lang="en-IN" sz="1600" b="1"/>
        </a:p>
      </xdr:txBody>
    </xdr:sp>
    <xdr:clientData/>
  </xdr:twoCellAnchor>
  <xdr:twoCellAnchor>
    <xdr:from>
      <xdr:col>43</xdr:col>
      <xdr:colOff>0</xdr:colOff>
      <xdr:row>18</xdr:row>
      <xdr:rowOff>0</xdr:rowOff>
    </xdr:from>
    <xdr:to>
      <xdr:col>50</xdr:col>
      <xdr:colOff>371475</xdr:colOff>
      <xdr:row>22</xdr:row>
      <xdr:rowOff>19050</xdr:rowOff>
    </xdr:to>
    <xdr:sp macro="" textlink="">
      <xdr:nvSpPr>
        <xdr:cNvPr id="31" name="Rectangle 30">
          <a:extLst>
            <a:ext uri="{FF2B5EF4-FFF2-40B4-BE49-F238E27FC236}">
              <a16:creationId xmlns:a16="http://schemas.microsoft.com/office/drawing/2014/main" id="{C70F4762-0BAB-482F-9619-0DF3685CD47B}"/>
            </a:ext>
          </a:extLst>
        </xdr:cNvPr>
        <xdr:cNvSpPr/>
      </xdr:nvSpPr>
      <xdr:spPr>
        <a:xfrm>
          <a:off x="30546675" y="3619500"/>
          <a:ext cx="4638675" cy="7810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As per information, March</a:t>
          </a:r>
          <a:r>
            <a:rPr lang="en-IN" sz="1100" baseline="0"/>
            <a:t> 2020 is the time of covid. Essential service like Remuneration &amp; amusement category has highest inflation trend in after March2020 in the month of April &amp; May of 2020.</a:t>
          </a:r>
          <a:endParaRPr lang="en-IN" sz="1100"/>
        </a:p>
      </xdr:txBody>
    </xdr:sp>
    <xdr:clientData/>
  </xdr:twoCellAnchor>
  <xdr:twoCellAnchor>
    <xdr:from>
      <xdr:col>9</xdr:col>
      <xdr:colOff>600075</xdr:colOff>
      <xdr:row>4</xdr:row>
      <xdr:rowOff>42862</xdr:rowOff>
    </xdr:from>
    <xdr:to>
      <xdr:col>17</xdr:col>
      <xdr:colOff>295275</xdr:colOff>
      <xdr:row>17</xdr:row>
      <xdr:rowOff>119062</xdr:rowOff>
    </xdr:to>
    <xdr:graphicFrame macro="">
      <xdr:nvGraphicFramePr>
        <xdr:cNvPr id="32" name="Chart 31">
          <a:extLst>
            <a:ext uri="{FF2B5EF4-FFF2-40B4-BE49-F238E27FC236}">
              <a16:creationId xmlns:a16="http://schemas.microsoft.com/office/drawing/2014/main" id="{CCD52C5A-1FEA-447C-8F8E-D6865CBFB9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58</xdr:col>
      <xdr:colOff>9524</xdr:colOff>
      <xdr:row>4</xdr:row>
      <xdr:rowOff>0</xdr:rowOff>
    </xdr:from>
    <xdr:to>
      <xdr:col>58</xdr:col>
      <xdr:colOff>219075</xdr:colOff>
      <xdr:row>14</xdr:row>
      <xdr:rowOff>171450</xdr:rowOff>
    </xdr:to>
    <xdr:sp macro="" textlink="">
      <xdr:nvSpPr>
        <xdr:cNvPr id="33" name="Callout: Right Arrow 32">
          <a:extLst>
            <a:ext uri="{FF2B5EF4-FFF2-40B4-BE49-F238E27FC236}">
              <a16:creationId xmlns:a16="http://schemas.microsoft.com/office/drawing/2014/main" id="{8D68641F-43DE-4DCA-B27A-5A504D53EAA9}"/>
            </a:ext>
          </a:extLst>
        </xdr:cNvPr>
        <xdr:cNvSpPr/>
      </xdr:nvSpPr>
      <xdr:spPr>
        <a:xfrm>
          <a:off x="40833674" y="762000"/>
          <a:ext cx="209551" cy="2076450"/>
        </a:xfrm>
        <a:prstGeom prst="rightArrowCallou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58</xdr:col>
      <xdr:colOff>28576</xdr:colOff>
      <xdr:row>15</xdr:row>
      <xdr:rowOff>171450</xdr:rowOff>
    </xdr:from>
    <xdr:to>
      <xdr:col>58</xdr:col>
      <xdr:colOff>161925</xdr:colOff>
      <xdr:row>28</xdr:row>
      <xdr:rowOff>28575</xdr:rowOff>
    </xdr:to>
    <xdr:sp macro="" textlink="">
      <xdr:nvSpPr>
        <xdr:cNvPr id="34" name="Callout: Right Arrow 33">
          <a:extLst>
            <a:ext uri="{FF2B5EF4-FFF2-40B4-BE49-F238E27FC236}">
              <a16:creationId xmlns:a16="http://schemas.microsoft.com/office/drawing/2014/main" id="{46634197-18FB-46C3-A6A6-D35703C604AC}"/>
            </a:ext>
          </a:extLst>
        </xdr:cNvPr>
        <xdr:cNvSpPr/>
      </xdr:nvSpPr>
      <xdr:spPr>
        <a:xfrm>
          <a:off x="40852726" y="3028950"/>
          <a:ext cx="133349" cy="2333625"/>
        </a:xfrm>
        <a:prstGeom prst="rightArrowCallou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58</xdr:col>
      <xdr:colOff>0</xdr:colOff>
      <xdr:row>14</xdr:row>
      <xdr:rowOff>161925</xdr:rowOff>
    </xdr:from>
    <xdr:to>
      <xdr:col>59</xdr:col>
      <xdr:colOff>0</xdr:colOff>
      <xdr:row>15</xdr:row>
      <xdr:rowOff>180975</xdr:rowOff>
    </xdr:to>
    <xdr:sp macro="" textlink="">
      <xdr:nvSpPr>
        <xdr:cNvPr id="35" name="Rectangle 34">
          <a:extLst>
            <a:ext uri="{FF2B5EF4-FFF2-40B4-BE49-F238E27FC236}">
              <a16:creationId xmlns:a16="http://schemas.microsoft.com/office/drawing/2014/main" id="{C5D83F6A-3DBA-44B7-85AC-92992FC4F6EA}"/>
            </a:ext>
          </a:extLst>
        </xdr:cNvPr>
        <xdr:cNvSpPr/>
      </xdr:nvSpPr>
      <xdr:spPr>
        <a:xfrm>
          <a:off x="40824150" y="2828925"/>
          <a:ext cx="609600" cy="209550"/>
        </a:xfrm>
        <a:prstGeom prst="rec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t>Covid</a:t>
          </a:r>
        </a:p>
      </xdr:txBody>
    </xdr:sp>
    <xdr:clientData/>
  </xdr:twoCellAnchor>
  <xdr:twoCellAnchor>
    <xdr:from>
      <xdr:col>58</xdr:col>
      <xdr:colOff>190500</xdr:colOff>
      <xdr:row>21</xdr:row>
      <xdr:rowOff>95250</xdr:rowOff>
    </xdr:from>
    <xdr:to>
      <xdr:col>60</xdr:col>
      <xdr:colOff>0</xdr:colOff>
      <xdr:row>22</xdr:row>
      <xdr:rowOff>171450</xdr:rowOff>
    </xdr:to>
    <xdr:sp macro="" textlink="">
      <xdr:nvSpPr>
        <xdr:cNvPr id="36" name="Rectangle 35">
          <a:extLst>
            <a:ext uri="{FF2B5EF4-FFF2-40B4-BE49-F238E27FC236}">
              <a16:creationId xmlns:a16="http://schemas.microsoft.com/office/drawing/2014/main" id="{CA231D68-DD54-46D0-99B5-8C2247058C34}"/>
            </a:ext>
          </a:extLst>
        </xdr:cNvPr>
        <xdr:cNvSpPr/>
      </xdr:nvSpPr>
      <xdr:spPr>
        <a:xfrm>
          <a:off x="41014650" y="4095750"/>
          <a:ext cx="1028700" cy="266700"/>
        </a:xfrm>
        <a:prstGeom prst="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After Covid</a:t>
          </a:r>
        </a:p>
      </xdr:txBody>
    </xdr:sp>
    <xdr:clientData/>
  </xdr:twoCellAnchor>
  <xdr:twoCellAnchor>
    <xdr:from>
      <xdr:col>58</xdr:col>
      <xdr:colOff>219075</xdr:colOff>
      <xdr:row>8</xdr:row>
      <xdr:rowOff>133350</xdr:rowOff>
    </xdr:from>
    <xdr:to>
      <xdr:col>60</xdr:col>
      <xdr:colOff>28575</xdr:colOff>
      <xdr:row>10</xdr:row>
      <xdr:rowOff>19050</xdr:rowOff>
    </xdr:to>
    <xdr:sp macro="" textlink="">
      <xdr:nvSpPr>
        <xdr:cNvPr id="37" name="Rectangle 36">
          <a:extLst>
            <a:ext uri="{FF2B5EF4-FFF2-40B4-BE49-F238E27FC236}">
              <a16:creationId xmlns:a16="http://schemas.microsoft.com/office/drawing/2014/main" id="{2EEF718D-3118-4408-B3D2-99F67788BC69}"/>
            </a:ext>
          </a:extLst>
        </xdr:cNvPr>
        <xdr:cNvSpPr/>
      </xdr:nvSpPr>
      <xdr:spPr>
        <a:xfrm>
          <a:off x="41043225" y="1657350"/>
          <a:ext cx="1028700" cy="266700"/>
        </a:xfrm>
        <a:prstGeom prst="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Before Covid</a:t>
          </a:r>
        </a:p>
      </xdr:txBody>
    </xdr:sp>
    <xdr:clientData/>
  </xdr:twoCellAnchor>
  <xdr:twoCellAnchor>
    <xdr:from>
      <xdr:col>59</xdr:col>
      <xdr:colOff>590549</xdr:colOff>
      <xdr:row>3</xdr:row>
      <xdr:rowOff>4761</xdr:rowOff>
    </xdr:from>
    <xdr:to>
      <xdr:col>67</xdr:col>
      <xdr:colOff>304800</xdr:colOff>
      <xdr:row>19</xdr:row>
      <xdr:rowOff>9524</xdr:rowOff>
    </xdr:to>
    <xdr:graphicFrame macro="">
      <xdr:nvGraphicFramePr>
        <xdr:cNvPr id="2" name="Chart 1">
          <a:extLst>
            <a:ext uri="{FF2B5EF4-FFF2-40B4-BE49-F238E27FC236}">
              <a16:creationId xmlns:a16="http://schemas.microsoft.com/office/drawing/2014/main" id="{3709E4FC-37B1-4A61-AC53-6E119DC0D1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59</xdr:col>
      <xdr:colOff>590550</xdr:colOff>
      <xdr:row>19</xdr:row>
      <xdr:rowOff>19050</xdr:rowOff>
    </xdr:from>
    <xdr:to>
      <xdr:col>67</xdr:col>
      <xdr:colOff>352425</xdr:colOff>
      <xdr:row>23</xdr:row>
      <xdr:rowOff>38100</xdr:rowOff>
    </xdr:to>
    <xdr:sp macro="" textlink="">
      <xdr:nvSpPr>
        <xdr:cNvPr id="38" name="Rectangle 37">
          <a:extLst>
            <a:ext uri="{FF2B5EF4-FFF2-40B4-BE49-F238E27FC236}">
              <a16:creationId xmlns:a16="http://schemas.microsoft.com/office/drawing/2014/main" id="{91F1E478-2C43-4884-8102-CCAE76FBF1DA}"/>
            </a:ext>
          </a:extLst>
        </xdr:cNvPr>
        <xdr:cNvSpPr/>
      </xdr:nvSpPr>
      <xdr:spPr>
        <a:xfrm>
          <a:off x="42024300" y="3829050"/>
          <a:ext cx="4638675" cy="7810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As per information, March</a:t>
          </a:r>
          <a:r>
            <a:rPr lang="en-IN" sz="1100" baseline="0"/>
            <a:t> 2020 is the time of covid.Like other sector we cannot see the inflation in in May, June . Instead of that , the inflormation we got that education sector has highest inflation in month of august 2020. </a:t>
          </a:r>
          <a:endParaRPr lang="en-IN" sz="1100"/>
        </a:p>
      </xdr:txBody>
    </xdr:sp>
    <xdr:clientData/>
  </xdr:twoCellAnchor>
  <xdr:twoCellAnchor>
    <xdr:from>
      <xdr:col>59</xdr:col>
      <xdr:colOff>600075</xdr:colOff>
      <xdr:row>3</xdr:row>
      <xdr:rowOff>9525</xdr:rowOff>
    </xdr:from>
    <xdr:to>
      <xdr:col>67</xdr:col>
      <xdr:colOff>285750</xdr:colOff>
      <xdr:row>4</xdr:row>
      <xdr:rowOff>85725</xdr:rowOff>
    </xdr:to>
    <xdr:sp macro="" textlink="">
      <xdr:nvSpPr>
        <xdr:cNvPr id="39" name="Rectangle 38">
          <a:extLst>
            <a:ext uri="{FF2B5EF4-FFF2-40B4-BE49-F238E27FC236}">
              <a16:creationId xmlns:a16="http://schemas.microsoft.com/office/drawing/2014/main" id="{FB410142-3296-44D0-9FA9-3346E279284B}"/>
            </a:ext>
          </a:extLst>
        </xdr:cNvPr>
        <xdr:cNvSpPr/>
      </xdr:nvSpPr>
      <xdr:spPr>
        <a:xfrm>
          <a:off x="42033825" y="581025"/>
          <a:ext cx="4562475" cy="266700"/>
        </a:xfrm>
        <a:prstGeom prst="rec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baseline="0"/>
            <a:t>Education  category</a:t>
          </a:r>
          <a:endParaRPr lang="en-IN" sz="1600" b="1"/>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10</xdr:col>
      <xdr:colOff>238125</xdr:colOff>
      <xdr:row>3</xdr:row>
      <xdr:rowOff>9525</xdr:rowOff>
    </xdr:from>
    <xdr:to>
      <xdr:col>14</xdr:col>
      <xdr:colOff>895350</xdr:colOff>
      <xdr:row>16</xdr:row>
      <xdr:rowOff>9525</xdr:rowOff>
    </xdr:to>
    <xdr:graphicFrame macro="">
      <xdr:nvGraphicFramePr>
        <xdr:cNvPr id="2" name="Chart 1">
          <a:extLst>
            <a:ext uri="{FF2B5EF4-FFF2-40B4-BE49-F238E27FC236}">
              <a16:creationId xmlns:a16="http://schemas.microsoft.com/office/drawing/2014/main" id="{C0B98149-FBA9-4191-9BCE-B5222E303C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19050</xdr:colOff>
      <xdr:row>16</xdr:row>
      <xdr:rowOff>19050</xdr:rowOff>
    </xdr:from>
    <xdr:to>
      <xdr:col>14</xdr:col>
      <xdr:colOff>914400</xdr:colOff>
      <xdr:row>17</xdr:row>
      <xdr:rowOff>104775</xdr:rowOff>
    </xdr:to>
    <xdr:sp macro="" textlink="">
      <xdr:nvSpPr>
        <xdr:cNvPr id="3" name="Rectangle 2">
          <a:extLst>
            <a:ext uri="{FF2B5EF4-FFF2-40B4-BE49-F238E27FC236}">
              <a16:creationId xmlns:a16="http://schemas.microsoft.com/office/drawing/2014/main" id="{88133AA0-8F16-4155-A961-95DFB8A33A80}"/>
            </a:ext>
          </a:extLst>
        </xdr:cNvPr>
        <xdr:cNvSpPr/>
      </xdr:nvSpPr>
      <xdr:spPr>
        <a:xfrm>
          <a:off x="4324350" y="3067050"/>
          <a:ext cx="7572375" cy="2762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From this chart,</a:t>
          </a:r>
          <a:r>
            <a:rPr lang="en-IN" sz="1100" baseline="0"/>
            <a:t> we can see that in august 2022 there was sharp decline in cruid oil price &amp; highest inflation in 2023 March. </a:t>
          </a:r>
          <a:endParaRPr lang="en-IN" sz="1100"/>
        </a:p>
      </xdr:txBody>
    </xdr:sp>
    <xdr:clientData/>
  </xdr:twoCellAnchor>
  <xdr:twoCellAnchor>
    <xdr:from>
      <xdr:col>10</xdr:col>
      <xdr:colOff>238126</xdr:colOff>
      <xdr:row>19</xdr:row>
      <xdr:rowOff>0</xdr:rowOff>
    </xdr:from>
    <xdr:to>
      <xdr:col>14</xdr:col>
      <xdr:colOff>904876</xdr:colOff>
      <xdr:row>32</xdr:row>
      <xdr:rowOff>0</xdr:rowOff>
    </xdr:to>
    <xdr:graphicFrame macro="">
      <xdr:nvGraphicFramePr>
        <xdr:cNvPr id="4" name="Chart 3">
          <a:extLst>
            <a:ext uri="{FF2B5EF4-FFF2-40B4-BE49-F238E27FC236}">
              <a16:creationId xmlns:a16="http://schemas.microsoft.com/office/drawing/2014/main" id="{F7329DA1-787C-44C7-B889-76EC126960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32</xdr:row>
      <xdr:rowOff>0</xdr:rowOff>
    </xdr:from>
    <xdr:to>
      <xdr:col>14</xdr:col>
      <xdr:colOff>895350</xdr:colOff>
      <xdr:row>33</xdr:row>
      <xdr:rowOff>85725</xdr:rowOff>
    </xdr:to>
    <xdr:sp macro="" textlink="">
      <xdr:nvSpPr>
        <xdr:cNvPr id="5" name="Rectangle 4">
          <a:extLst>
            <a:ext uri="{FF2B5EF4-FFF2-40B4-BE49-F238E27FC236}">
              <a16:creationId xmlns:a16="http://schemas.microsoft.com/office/drawing/2014/main" id="{D6A36093-B069-48BA-AD85-EAEA46C58FF0}"/>
            </a:ext>
          </a:extLst>
        </xdr:cNvPr>
        <xdr:cNvSpPr/>
      </xdr:nvSpPr>
      <xdr:spPr>
        <a:xfrm>
          <a:off x="4305300" y="6515100"/>
          <a:ext cx="7572375" cy="2762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From this chart,</a:t>
          </a:r>
          <a:r>
            <a:rPr lang="en-IN" sz="1100" baseline="0"/>
            <a:t> we can see that in august 2022 there was  highest inflation in cruid oil price &amp;  sharp decline in 2021  June. </a:t>
          </a:r>
          <a:endParaRPr lang="en-IN" sz="1100"/>
        </a:p>
      </xdr:txBody>
    </xdr:sp>
    <xdr:clientData/>
  </xdr:twoCellAnchor>
  <xdr:twoCellAnchor>
    <xdr:from>
      <xdr:col>17</xdr:col>
      <xdr:colOff>9525</xdr:colOff>
      <xdr:row>28</xdr:row>
      <xdr:rowOff>19050</xdr:rowOff>
    </xdr:from>
    <xdr:to>
      <xdr:col>31</xdr:col>
      <xdr:colOff>0</xdr:colOff>
      <xdr:row>30</xdr:row>
      <xdr:rowOff>114300</xdr:rowOff>
    </xdr:to>
    <xdr:sp macro="" textlink="">
      <xdr:nvSpPr>
        <xdr:cNvPr id="6" name="Rectangle 5">
          <a:extLst>
            <a:ext uri="{FF2B5EF4-FFF2-40B4-BE49-F238E27FC236}">
              <a16:creationId xmlns:a16="http://schemas.microsoft.com/office/drawing/2014/main" id="{60218E46-78EF-47EF-86EB-8C11428F275E}"/>
            </a:ext>
          </a:extLst>
        </xdr:cNvPr>
        <xdr:cNvSpPr/>
      </xdr:nvSpPr>
      <xdr:spPr>
        <a:xfrm>
          <a:off x="13249275" y="5391150"/>
          <a:ext cx="10658475" cy="4762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From this analysis,</a:t>
          </a:r>
          <a:r>
            <a:rPr lang="en-IN" sz="1100" baseline="0"/>
            <a:t> we found that for oil changes price has corelation with inflation of  Transport &amp; communication. Not only transport &amp; communication , change in cruid oil price has affect of inflation in categories like meat &amp; fish,  Oil &amp; fats , Fruits &amp; Education.</a:t>
          </a:r>
          <a:endParaRPr lang="en-IN"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3</xdr:col>
      <xdr:colOff>57150</xdr:colOff>
      <xdr:row>2</xdr:row>
      <xdr:rowOff>133349</xdr:rowOff>
    </xdr:from>
    <xdr:to>
      <xdr:col>10</xdr:col>
      <xdr:colOff>171450</xdr:colOff>
      <xdr:row>18</xdr:row>
      <xdr:rowOff>104774</xdr:rowOff>
    </xdr:to>
    <xdr:sp macro="" textlink="">
      <xdr:nvSpPr>
        <xdr:cNvPr id="2" name="Rectangle 1">
          <a:extLst>
            <a:ext uri="{FF2B5EF4-FFF2-40B4-BE49-F238E27FC236}">
              <a16:creationId xmlns:a16="http://schemas.microsoft.com/office/drawing/2014/main" id="{09153883-C242-4659-8101-FA24FC230565}"/>
            </a:ext>
          </a:extLst>
        </xdr:cNvPr>
        <xdr:cNvSpPr/>
      </xdr:nvSpPr>
      <xdr:spPr>
        <a:xfrm>
          <a:off x="1885950" y="514349"/>
          <a:ext cx="4381500" cy="3019425"/>
        </a:xfrm>
        <a:prstGeom prst="rect">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a:p>
          <a:pPr algn="l"/>
          <a:endParaRPr lang="en-IN" sz="1100" b="1"/>
        </a:p>
        <a:p>
          <a:pPr algn="l"/>
          <a:endParaRPr lang="en-IN" sz="1100" b="1"/>
        </a:p>
        <a:p>
          <a:pPr algn="l"/>
          <a:endParaRPr lang="en-IN" sz="1100" b="1"/>
        </a:p>
        <a:p>
          <a:pPr algn="l"/>
          <a:r>
            <a:rPr lang="en-IN" sz="1100" b="1">
              <a:solidFill>
                <a:srgbClr val="FFFF00"/>
              </a:solidFill>
            </a:rPr>
            <a:t>1. Food categpry</a:t>
          </a:r>
          <a:r>
            <a:rPr lang="en-IN" sz="1100">
              <a:solidFill>
                <a:srgbClr val="FFFF00"/>
              </a:solidFill>
            </a:rPr>
            <a:t>: </a:t>
          </a:r>
          <a:r>
            <a:rPr lang="en-IN" sz="1100" b="0" i="0" u="none" strike="noStrike">
              <a:solidFill>
                <a:schemeClr val="lt1"/>
              </a:solidFill>
              <a:effectLst/>
              <a:latin typeface="+mn-lt"/>
              <a:ea typeface="+mn-ea"/>
              <a:cs typeface="+mn-cs"/>
            </a:rPr>
            <a:t>Cereals and products</a:t>
          </a:r>
          <a:r>
            <a:rPr lang="en-IN" b="0"/>
            <a:t> ,</a:t>
          </a:r>
          <a:r>
            <a:rPr lang="en-IN" sz="1100" b="0" i="0" u="none" strike="noStrike">
              <a:solidFill>
                <a:schemeClr val="lt1"/>
              </a:solidFill>
              <a:effectLst/>
              <a:latin typeface="+mn-lt"/>
              <a:ea typeface="+mn-ea"/>
              <a:cs typeface="+mn-cs"/>
            </a:rPr>
            <a:t>Meat and fish,</a:t>
          </a:r>
          <a:r>
            <a:rPr lang="en-IN" b="0"/>
            <a:t> </a:t>
          </a:r>
          <a:r>
            <a:rPr lang="en-IN" sz="1100" b="0" i="0" u="none" strike="noStrike">
              <a:solidFill>
                <a:schemeClr val="lt1"/>
              </a:solidFill>
              <a:effectLst/>
              <a:latin typeface="+mn-lt"/>
              <a:ea typeface="+mn-ea"/>
              <a:cs typeface="+mn-cs"/>
            </a:rPr>
            <a:t>Egg,</a:t>
          </a:r>
          <a:r>
            <a:rPr lang="en-IN" b="0"/>
            <a:t> </a:t>
          </a:r>
          <a:r>
            <a:rPr lang="en-IN" sz="1100" b="0" i="0" u="none" strike="noStrike">
              <a:solidFill>
                <a:schemeClr val="lt1"/>
              </a:solidFill>
              <a:effectLst/>
              <a:latin typeface="+mn-lt"/>
              <a:ea typeface="+mn-ea"/>
              <a:cs typeface="+mn-cs"/>
            </a:rPr>
            <a:t>Milk and products,</a:t>
          </a:r>
          <a:r>
            <a:rPr lang="en-IN" b="0"/>
            <a:t> </a:t>
          </a:r>
          <a:r>
            <a:rPr lang="en-IN" sz="1100" b="0" i="0" u="none" strike="noStrike">
              <a:solidFill>
                <a:schemeClr val="lt1"/>
              </a:solidFill>
              <a:effectLst/>
              <a:latin typeface="+mn-lt"/>
              <a:ea typeface="+mn-ea"/>
              <a:cs typeface="+mn-cs"/>
            </a:rPr>
            <a:t>Oils and fats,</a:t>
          </a:r>
          <a:r>
            <a:rPr lang="en-IN" b="0"/>
            <a:t> </a:t>
          </a:r>
          <a:r>
            <a:rPr lang="en-IN" sz="1100" b="0" i="0" u="none" strike="noStrike">
              <a:solidFill>
                <a:schemeClr val="lt1"/>
              </a:solidFill>
              <a:effectLst/>
              <a:latin typeface="+mn-lt"/>
              <a:ea typeface="+mn-ea"/>
              <a:cs typeface="+mn-cs"/>
            </a:rPr>
            <a:t>Fruits</a:t>
          </a:r>
          <a:r>
            <a:rPr lang="en-IN" b="0"/>
            <a:t> </a:t>
          </a:r>
          <a:r>
            <a:rPr lang="en-IN" sz="1100" b="0" i="0" u="none" strike="noStrike">
              <a:solidFill>
                <a:schemeClr val="lt1"/>
              </a:solidFill>
              <a:effectLst/>
              <a:latin typeface="+mn-lt"/>
              <a:ea typeface="+mn-ea"/>
              <a:cs typeface="+mn-cs"/>
            </a:rPr>
            <a:t>Vegetables,</a:t>
          </a:r>
          <a:r>
            <a:rPr lang="en-IN" b="0"/>
            <a:t> </a:t>
          </a:r>
          <a:r>
            <a:rPr lang="en-IN" sz="1100" b="0" i="0" u="none" strike="noStrike">
              <a:solidFill>
                <a:schemeClr val="lt1"/>
              </a:solidFill>
              <a:effectLst/>
              <a:latin typeface="+mn-lt"/>
              <a:ea typeface="+mn-ea"/>
              <a:cs typeface="+mn-cs"/>
            </a:rPr>
            <a:t>Pulses and products</a:t>
          </a:r>
          <a:r>
            <a:rPr lang="en-IN" b="0"/>
            <a:t> ,</a:t>
          </a:r>
          <a:r>
            <a:rPr lang="en-IN" sz="1100" b="0" i="0" u="none" strike="noStrike">
              <a:solidFill>
                <a:schemeClr val="lt1"/>
              </a:solidFill>
              <a:effectLst/>
              <a:latin typeface="+mn-lt"/>
              <a:ea typeface="+mn-ea"/>
              <a:cs typeface="+mn-cs"/>
            </a:rPr>
            <a:t>Sugar and Confectionery,</a:t>
          </a:r>
          <a:r>
            <a:rPr lang="en-IN" b="0"/>
            <a:t> </a:t>
          </a:r>
          <a:r>
            <a:rPr lang="en-IN" sz="1100" b="0" i="0" u="none" strike="noStrike">
              <a:solidFill>
                <a:schemeClr val="lt1"/>
              </a:solidFill>
              <a:effectLst/>
              <a:latin typeface="+mn-lt"/>
              <a:ea typeface="+mn-ea"/>
              <a:cs typeface="+mn-cs"/>
            </a:rPr>
            <a:t>Spices</a:t>
          </a:r>
          <a:r>
            <a:rPr lang="en-IN" b="0"/>
            <a:t> ,</a:t>
          </a:r>
          <a:r>
            <a:rPr lang="en-IN" sz="1100" b="0" i="0" u="none" strike="noStrike">
              <a:solidFill>
                <a:schemeClr val="lt1"/>
              </a:solidFill>
              <a:effectLst/>
              <a:latin typeface="+mn-lt"/>
              <a:ea typeface="+mn-ea"/>
              <a:cs typeface="+mn-cs"/>
            </a:rPr>
            <a:t>Non-alcoholic beverages,</a:t>
          </a:r>
          <a:r>
            <a:rPr lang="en-IN" b="0"/>
            <a:t> </a:t>
          </a:r>
          <a:r>
            <a:rPr lang="en-IN" sz="1100" b="0" i="0" u="none" strike="noStrike">
              <a:solidFill>
                <a:schemeClr val="lt1"/>
              </a:solidFill>
              <a:effectLst/>
              <a:latin typeface="+mn-lt"/>
              <a:ea typeface="+mn-ea"/>
              <a:cs typeface="+mn-cs"/>
            </a:rPr>
            <a:t>Prepared meals, snacks, sweets etc.</a:t>
          </a:r>
          <a:r>
            <a:rPr lang="en-IN" b="0"/>
            <a:t> </a:t>
          </a:r>
          <a:r>
            <a:rPr lang="en-IN" sz="1100" b="0" i="0" u="none" strike="noStrike">
              <a:solidFill>
                <a:schemeClr val="lt1"/>
              </a:solidFill>
              <a:effectLst/>
              <a:latin typeface="+mn-lt"/>
              <a:ea typeface="+mn-ea"/>
              <a:cs typeface="+mn-cs"/>
            </a:rPr>
            <a:t>Food and beverages.</a:t>
          </a:r>
          <a:r>
            <a:rPr lang="en-IN" b="0"/>
            <a:t> </a:t>
          </a:r>
          <a:endParaRPr lang="en-IN" sz="1100" b="0"/>
        </a:p>
        <a:p>
          <a:pPr algn="l"/>
          <a:r>
            <a:rPr lang="en-IN" sz="1100">
              <a:solidFill>
                <a:srgbClr val="FFFF00"/>
              </a:solidFill>
            </a:rPr>
            <a:t>2:</a:t>
          </a:r>
          <a:r>
            <a:rPr lang="en-IN" sz="1100" baseline="0">
              <a:solidFill>
                <a:srgbClr val="FFFF00"/>
              </a:solidFill>
            </a:rPr>
            <a:t> Tobacco category: </a:t>
          </a:r>
          <a:r>
            <a:rPr lang="en-IN" sz="1100" baseline="0"/>
            <a:t>Pan &amp; Tobacco category</a:t>
          </a:r>
        </a:p>
        <a:p>
          <a:pPr algn="l"/>
          <a:r>
            <a:rPr lang="en-IN" sz="1100" baseline="0">
              <a:solidFill>
                <a:srgbClr val="FFFF00"/>
              </a:solidFill>
            </a:rPr>
            <a:t>3: Clothing category: </a:t>
          </a:r>
          <a:r>
            <a:rPr lang="en-IN" sz="1100" baseline="0"/>
            <a:t>Clothing &amp; Footwear</a:t>
          </a:r>
        </a:p>
        <a:p>
          <a:pPr algn="l"/>
          <a:r>
            <a:rPr lang="en-IN" sz="1100" baseline="0">
              <a:solidFill>
                <a:srgbClr val="FFFF00"/>
              </a:solidFill>
            </a:rPr>
            <a:t>4: Housing category</a:t>
          </a:r>
          <a:r>
            <a:rPr lang="en-IN" sz="1100" baseline="0">
              <a:solidFill>
                <a:srgbClr val="FF0000"/>
              </a:solidFill>
            </a:rPr>
            <a:t>: </a:t>
          </a:r>
          <a:r>
            <a:rPr lang="en-IN" sz="1100" baseline="0"/>
            <a:t>Housing, Fuel &amp; light, household goods &amp; services, Personal care effects &amp; miscelleneous </a:t>
          </a:r>
        </a:p>
        <a:p>
          <a:pPr algn="l"/>
          <a:r>
            <a:rPr lang="en-IN" sz="1100" baseline="0">
              <a:solidFill>
                <a:srgbClr val="FFFF00"/>
              </a:solidFill>
            </a:rPr>
            <a:t>5: Health category</a:t>
          </a:r>
        </a:p>
        <a:p>
          <a:pPr algn="l"/>
          <a:r>
            <a:rPr lang="en-IN" sz="1100" baseline="0">
              <a:solidFill>
                <a:srgbClr val="FFFF00"/>
              </a:solidFill>
            </a:rPr>
            <a:t>6: Amusement category</a:t>
          </a:r>
        </a:p>
        <a:p>
          <a:pPr algn="l"/>
          <a:r>
            <a:rPr lang="en-IN" sz="1100" baseline="0">
              <a:solidFill>
                <a:srgbClr val="FFFF00"/>
              </a:solidFill>
            </a:rPr>
            <a:t>7: Education category</a:t>
          </a:r>
        </a:p>
        <a:p>
          <a:pPr algn="l"/>
          <a:r>
            <a:rPr lang="en-IN" sz="1100" baseline="0">
              <a:solidFill>
                <a:srgbClr val="FFFF00"/>
              </a:solidFill>
            </a:rPr>
            <a:t>8: Transport category</a:t>
          </a:r>
        </a:p>
        <a:p>
          <a:pPr algn="l"/>
          <a:endParaRPr lang="en-IN" sz="1100"/>
        </a:p>
      </xdr:txBody>
    </xdr:sp>
    <xdr:clientData/>
  </xdr:twoCellAnchor>
  <xdr:twoCellAnchor>
    <xdr:from>
      <xdr:col>5</xdr:col>
      <xdr:colOff>142875</xdr:colOff>
      <xdr:row>3</xdr:row>
      <xdr:rowOff>133350</xdr:rowOff>
    </xdr:from>
    <xdr:to>
      <xdr:col>8</xdr:col>
      <xdr:colOff>276225</xdr:colOff>
      <xdr:row>5</xdr:row>
      <xdr:rowOff>28575</xdr:rowOff>
    </xdr:to>
    <xdr:sp macro="" textlink="">
      <xdr:nvSpPr>
        <xdr:cNvPr id="3" name="Rectangle 2">
          <a:extLst>
            <a:ext uri="{FF2B5EF4-FFF2-40B4-BE49-F238E27FC236}">
              <a16:creationId xmlns:a16="http://schemas.microsoft.com/office/drawing/2014/main" id="{FBEFD57B-0D9A-47B5-9483-F3C9B622B1F1}"/>
            </a:ext>
          </a:extLst>
        </xdr:cNvPr>
        <xdr:cNvSpPr/>
      </xdr:nvSpPr>
      <xdr:spPr>
        <a:xfrm>
          <a:off x="3190875" y="704850"/>
          <a:ext cx="1962150" cy="276225"/>
        </a:xfrm>
        <a:prstGeom prst="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Broader</a:t>
          </a:r>
          <a:r>
            <a:rPr lang="en-IN" sz="1100" baseline="0"/>
            <a:t> Basket</a:t>
          </a:r>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863.585141782409" createdVersion="7" refreshedVersion="7" minRefreshableVersion="3" recordCount="372" xr:uid="{00000000-000A-0000-FFFF-FFFF44000000}">
  <cacheSource type="worksheet">
    <worksheetSource ref="A1:AN373" sheet="CIP-Main data"/>
  </cacheSource>
  <cacheFields count="40">
    <cacheField name="Sector" numFmtId="0">
      <sharedItems count="3">
        <s v="Rural"/>
        <s v="Urban"/>
        <s v="Rural+Urban"/>
      </sharedItems>
    </cacheField>
    <cacheField name="Year" numFmtId="0">
      <sharedItems containsSemiMixedTypes="0" containsString="0" containsNumber="1" containsInteger="1" minValue="2013" maxValue="2023" count="11">
        <n v="2013"/>
        <n v="2014"/>
        <n v="2015"/>
        <n v="2016"/>
        <n v="2017"/>
        <n v="2018"/>
        <n v="2019"/>
        <n v="2020"/>
        <n v="2021"/>
        <n v="2022"/>
        <n v="2023"/>
      </sharedItems>
    </cacheField>
    <cacheField name="Month" numFmtId="0">
      <sharedItems count="14">
        <s v="January"/>
        <s v="February"/>
        <s v="March"/>
        <s v="April"/>
        <s v="May"/>
        <s v="June"/>
        <s v="July"/>
        <s v="August"/>
        <s v="September"/>
        <s v="October"/>
        <s v="November "/>
        <s v="November"/>
        <s v="December"/>
        <s v="Marcrh"/>
      </sharedItems>
    </cacheField>
    <cacheField name="Year with Month" numFmtId="0">
      <sharedItems count="126">
        <s v="2013 January"/>
        <s v="2013 February"/>
        <s v="2013 March"/>
        <s v="2013 April"/>
        <s v="2013 May"/>
        <s v="2013 June"/>
        <s v="2013 July"/>
        <s v="2013 August"/>
        <s v="2013 September"/>
        <s v="2013 October"/>
        <s v="2013 November "/>
        <s v="2013 November"/>
        <s v="2013 December"/>
        <s v="2014 January"/>
        <s v="2014 February"/>
        <s v="2014 March"/>
        <s v="2014 Marcrh"/>
        <s v="2014 April"/>
        <s v="2014 May"/>
        <s v="2014 June"/>
        <s v="2014 July"/>
        <s v="2014 August"/>
        <s v="2014 September"/>
        <s v="2014 October"/>
        <s v="2014 November"/>
        <s v="2014 December"/>
        <s v="2015 January"/>
        <s v="2015 February"/>
        <s v="2015 March"/>
        <s v="2015 April"/>
        <s v="2015 May"/>
        <s v="2015 June"/>
        <s v="2015 July"/>
        <s v="2015 August"/>
        <s v="2015 September"/>
        <s v="2015 October"/>
        <s v="2015 November"/>
        <s v="2015 December"/>
        <s v="2016 January"/>
        <s v="2016 February"/>
        <s v="2016 March"/>
        <s v="2016 April"/>
        <s v="2016 May"/>
        <s v="2016 June"/>
        <s v="2016 July"/>
        <s v="2016 August"/>
        <s v="2016 September"/>
        <s v="2016 October"/>
        <s v="2016 November"/>
        <s v="2016 December"/>
        <s v="2017 January"/>
        <s v="2017 February"/>
        <s v="2017 March"/>
        <s v="2017 April"/>
        <s v="2017 May"/>
        <s v="2017 June"/>
        <s v="2017 July"/>
        <s v="2017 August"/>
        <s v="2017 September"/>
        <s v="2017 October"/>
        <s v="2017 November"/>
        <s v="2017 December"/>
        <s v="2018 January"/>
        <s v="2018 February"/>
        <s v="2018 March"/>
        <s v="2018 April"/>
        <s v="2018 May"/>
        <s v="2018 June"/>
        <s v="2018 July"/>
        <s v="2018 August"/>
        <s v="2018 September"/>
        <s v="2018 October"/>
        <s v="2018 November"/>
        <s v="2018 December"/>
        <s v="2019 January"/>
        <s v="2019 February"/>
        <s v="2019 March"/>
        <s v="2019 May"/>
        <s v="2019 June"/>
        <s v="2019 July"/>
        <s v="2019 August"/>
        <s v="2019 September"/>
        <s v="2019 October"/>
        <s v="2019 November"/>
        <s v="2019 December"/>
        <s v="2020 January"/>
        <s v="2020 February"/>
        <s v="2020 March"/>
        <s v="2020 April"/>
        <s v="2020 May"/>
        <s v="2020 June"/>
        <s v="2020 July"/>
        <s v="2020 August"/>
        <s v="2020 September"/>
        <s v="2020 October"/>
        <s v="2020 November"/>
        <s v="2020 December"/>
        <s v="2021 January"/>
        <s v="2021 February"/>
        <s v="2021 March"/>
        <s v="2021 April"/>
        <s v="2021 May"/>
        <s v="2021 June"/>
        <s v="2021 July"/>
        <s v="2021 August"/>
        <s v="2021 September"/>
        <s v="2021 October"/>
        <s v="2021 November"/>
        <s v="2021 December"/>
        <s v="2022 January"/>
        <s v="2022 February"/>
        <s v="2022 March"/>
        <s v="2022 April"/>
        <s v="2022 May"/>
        <s v="2022 June"/>
        <s v="2022 July"/>
        <s v="2022 August"/>
        <s v="2022 September"/>
        <s v="2022 October"/>
        <s v="2022 November"/>
        <s v="2022 December"/>
        <s v="2023 January"/>
        <s v="2023 February"/>
        <s v="2023 March"/>
        <s v="2023 April"/>
        <s v="2023 May"/>
      </sharedItems>
    </cacheField>
    <cacheField name="Cereals and products" numFmtId="0">
      <sharedItems containsSemiMixedTypes="0" containsString="0" containsNumber="1" minValue="107.5" maxValue="174.8" count="255">
        <n v="107.5"/>
        <n v="110.5"/>
        <n v="108.4"/>
        <n v="109.2"/>
        <n v="112.9"/>
        <n v="110.4"/>
        <n v="110.2"/>
        <n v="113.9"/>
        <n v="111.4"/>
        <n v="114.6"/>
        <n v="111.6"/>
        <n v="110.9"/>
        <n v="115.4"/>
        <n v="112.3"/>
        <n v="117"/>
        <n v="113.8"/>
        <n v="113.4"/>
        <n v="117.8"/>
        <n v="114.8"/>
        <n v="114.3"/>
        <n v="118.3"/>
        <n v="115.6"/>
        <n v="118.6"/>
        <n v="116.4"/>
        <n v="116.3"/>
        <n v="118.9"/>
        <n v="117.1"/>
        <n v="117.3"/>
        <n v="119.8"/>
        <n v="118.1"/>
        <n v="118.4"/>
        <n v="120.5"/>
        <n v="119.1"/>
        <n v="121.2"/>
        <n v="119.6"/>
        <n v="119.4"/>
        <n v="121.9"/>
        <n v="120.2"/>
        <n v="120.1"/>
        <n v="122.1"/>
        <n v="120.7"/>
        <n v="122.5"/>
        <n v="120.9"/>
        <n v="120.3"/>
        <n v="122.7"/>
        <n v="121.1"/>
        <n v="123.1"/>
        <n v="121.5"/>
        <n v="121.7"/>
        <n v="123.8"/>
        <n v="122.4"/>
        <n v="121.8"/>
        <n v="124.8"/>
        <n v="122.3"/>
        <n v="124.2"/>
        <n v="122.9"/>
        <n v="122.6"/>
        <n v="124.6"/>
        <n v="123.2"/>
        <n v="124.5"/>
        <n v="123.3"/>
        <n v="124"/>
        <n v="123.4"/>
        <n v="124.3"/>
        <n v="123.7"/>
        <n v="123.5"/>
        <n v="123.6"/>
        <n v="124.1"/>
        <n v="123.9"/>
        <n v="124.7"/>
        <n v="125.1"/>
        <n v="125.6"/>
        <n v="125"/>
        <n v="126.1"/>
        <n v="125.4"/>
        <n v="126.3"/>
        <n v="125.7"/>
        <n v="126.8"/>
        <n v="127.1"/>
        <n v="126.4"/>
        <n v="127.3"/>
        <n v="126.5"/>
        <n v="127.4"/>
        <n v="124.9"/>
        <n v="126.6"/>
        <n v="127.6"/>
        <n v="128.6"/>
        <n v="125.9"/>
        <n v="127.7"/>
        <n v="129.30000000000001"/>
        <n v="128.5"/>
        <n v="130.1"/>
        <n v="130.80000000000001"/>
        <n v="128.1"/>
        <n v="129.9"/>
        <n v="131.30000000000001"/>
        <n v="128.69999999999999"/>
        <n v="130.5"/>
        <n v="132"/>
        <n v="130.19999999999999"/>
        <n v="131.4"/>
        <n v="132.6"/>
        <n v="131.6"/>
        <n v="132.30000000000001"/>
        <n v="133.1"/>
        <n v="132.19999999999999"/>
        <n v="132.80000000000001"/>
        <n v="133.30000000000001"/>
        <n v="133.6"/>
        <n v="132.69999999999999"/>
        <n v="133.19999999999999"/>
        <n v="133"/>
        <n v="132.9"/>
        <n v="133.5"/>
        <n v="134"/>
        <n v="134.80000000000001"/>
        <n v="134.30000000000001"/>
        <n v="135.19999999999999"/>
        <n v="134.69999999999999"/>
        <n v="135.9"/>
        <n v="133.9"/>
        <n v="135.30000000000001"/>
        <n v="136.30000000000001"/>
        <n v="135.69999999999999"/>
        <n v="136.4"/>
        <n v="134.4"/>
        <n v="135.80000000000001"/>
        <n v="136.6"/>
        <n v="134.6"/>
        <n v="136"/>
        <n v="136.80000000000001"/>
        <n v="135"/>
        <n v="136.19999999999999"/>
        <n v="137.1"/>
        <n v="137.4"/>
        <n v="137.6"/>
        <n v="136.9"/>
        <n v="138.4"/>
        <n v="135.6"/>
        <n v="137.5"/>
        <n v="139.19999999999999"/>
        <n v="136.5"/>
        <n v="138.30000000000001"/>
        <n v="139.4"/>
        <n v="137"/>
        <n v="138.6"/>
        <n v="139.30000000000001"/>
        <n v="138.1"/>
        <n v="138.5"/>
        <n v="139.69999999999999"/>
        <n v="137.80000000000001"/>
        <n v="140.4"/>
        <n v="140.69999999999999"/>
        <n v="138.69999999999999"/>
        <n v="141.4"/>
        <n v="142.1"/>
        <n v="140.1"/>
        <n v="142.69999999999999"/>
        <n v="140.9"/>
        <n v="141"/>
        <n v="143.5"/>
        <n v="141.80000000000001"/>
        <n v="144.1"/>
        <n v="142.5"/>
        <n v="142.80000000000001"/>
        <n v="144.9"/>
        <n v="143.69999999999999"/>
        <n v="145.6"/>
        <n v="144.30000000000001"/>
        <n v="144.19999999999999"/>
        <n v="146.19999999999999"/>
        <n v="144.80000000000001"/>
        <n v="144.4"/>
        <n v="146.5"/>
        <n v="145.1"/>
        <n v="147.19999999999999"/>
        <n v="151.80000000000001"/>
        <n v="148.69999999999999"/>
        <n v="150.35"/>
        <n v="149.98749999999998"/>
        <n v="150.30937499999999"/>
        <n v="148.19999999999999"/>
        <n v="152.69999999999999"/>
        <n v="149.6"/>
        <n v="147.6"/>
        <n v="151.6"/>
        <n v="148.9"/>
        <n v="146.9"/>
        <n v="151.5"/>
        <n v="148.4"/>
        <n v="146"/>
        <n v="150.6"/>
        <n v="147.5"/>
        <n v="145.4"/>
        <n v="149.69999999999999"/>
        <n v="146.80000000000001"/>
        <n v="144.6"/>
        <n v="149"/>
        <n v="143.4"/>
        <n v="148"/>
        <n v="148.80000000000001"/>
        <n v="146.30000000000001"/>
        <n v="149.19999999999999"/>
        <n v="146.69999999999999"/>
        <n v="149.1"/>
        <n v="146.4"/>
        <n v="149.30000000000001"/>
        <n v="146.6"/>
        <n v="146.1"/>
        <n v="150.1"/>
        <n v="147.4"/>
        <n v="151"/>
        <n v="148.30000000000001"/>
        <n v="152.19999999999999"/>
        <n v="149.5"/>
        <n v="152.5"/>
        <n v="150"/>
        <n v="150.19999999999999"/>
        <n v="153.69999999999999"/>
        <n v="151.30000000000001"/>
        <n v="155.4"/>
        <n v="152.9"/>
        <n v="156.69999999999999"/>
        <n v="154.1"/>
        <n v="153.80000000000001"/>
        <n v="157.5"/>
        <n v="155"/>
        <n v="155.19999999999999"/>
        <n v="159.30000000000001"/>
        <n v="156.5"/>
        <n v="159.5"/>
        <n v="162.1"/>
        <n v="160.30000000000001"/>
        <n v="162.9"/>
        <n v="164.9"/>
        <n v="163.5"/>
        <n v="164.7"/>
        <n v="166.4"/>
        <n v="165.2"/>
        <n v="166.9"/>
        <n v="168.4"/>
        <n v="167.4"/>
        <n v="168.8"/>
        <n v="170.2"/>
        <n v="169.2"/>
        <n v="174"/>
        <n v="173.3"/>
        <n v="173.8"/>
        <n v="174.2"/>
        <n v="174.7"/>
        <n v="174.4"/>
        <n v="174.3"/>
        <n v="174.8"/>
        <n v="173.2"/>
        <n v="173.7"/>
      </sharedItems>
    </cacheField>
    <cacheField name="Meat and fish" numFmtId="0">
      <sharedItems containsSemiMixedTypes="0" containsString="0" containsNumber="1" minValue="106.3" maxValue="223.4"/>
    </cacheField>
    <cacheField name="Egg" numFmtId="0">
      <sharedItems containsSemiMixedTypes="0" containsString="0" containsNumber="1" minValue="102.7" maxValue="197"/>
    </cacheField>
    <cacheField name="Milk and products" numFmtId="0">
      <sharedItems containsSemiMixedTypes="0" containsString="0" containsNumber="1" minValue="103.6" maxValue="615.33750000000009"/>
    </cacheField>
    <cacheField name="Oils and fats" numFmtId="0">
      <sharedItems containsSemiMixedTypes="0" containsString="0" containsNumber="1" minValue="101.1" maxValue="209.9"/>
    </cacheField>
    <cacheField name="Fruits" numFmtId="0">
      <sharedItems containsSemiMixedTypes="0" containsString="0" containsNumber="1" minValue="102.3" maxValue="179.5"/>
    </cacheField>
    <cacheField name="Vegetables" numFmtId="0">
      <sharedItems containsSemiMixedTypes="0" containsString="0" containsNumber="1" minValue="101.4" maxValue="245.3"/>
    </cacheField>
    <cacheField name="Pulses and products" numFmtId="0">
      <sharedItems containsSemiMixedTypes="0" containsString="0" containsNumber="1" minValue="103.5" maxValue="191.6"/>
    </cacheField>
    <cacheField name="Sugar and Confectionery" numFmtId="0">
      <sharedItems containsSemiMixedTypes="0" containsString="0" containsNumber="1" minValue="85.3" maxValue="124.2"/>
    </cacheField>
    <cacheField name="Spices" numFmtId="0">
      <sharedItems containsSemiMixedTypes="0" containsString="0" containsNumber="1" minValue="101.8" maxValue="221"/>
    </cacheField>
    <cacheField name="Non-alcoholic beverages" numFmtId="0">
      <sharedItems containsSemiMixedTypes="0" containsString="0" containsNumber="1" minValue="104.8" maxValue="178.7"/>
    </cacheField>
    <cacheField name="Prepared meals, snacks, sweets etc." numFmtId="0">
      <sharedItems containsSemiMixedTypes="0" containsString="0" containsNumber="1" minValue="106.7" maxValue="197.7"/>
    </cacheField>
    <cacheField name="Food and beverages" numFmtId="0">
      <sharedItems containsSemiMixedTypes="0" containsString="0" containsNumber="1" minValue="105.5" maxValue="183.3"/>
    </cacheField>
    <cacheField name="Pan, tobacco and intoxicants" numFmtId="0">
      <sharedItems containsSemiMixedTypes="0" containsString="0" containsNumber="1" minValue="105.1" maxValue="204.2"/>
    </cacheField>
    <cacheField name="Clothing" numFmtId="0">
      <sharedItems containsSemiMixedTypes="0" containsString="0" containsNumber="1" minValue="105.9" maxValue="191.2"/>
    </cacheField>
    <cacheField name="Footwear" numFmtId="0">
      <sharedItems containsSemiMixedTypes="0" containsString="0" containsNumber="1" minValue="105" maxValue="187.9"/>
    </cacheField>
    <cacheField name="Clothing and footwear" numFmtId="0">
      <sharedItems containsSemiMixedTypes="0" containsString="0" containsNumber="1" minValue="105.8" maxValue="190.8"/>
    </cacheField>
    <cacheField name="Housing" numFmtId="0">
      <sharedItems containsMixedTypes="1" containsNumber="1" minValue="100.3" maxValue="175.6"/>
    </cacheField>
    <cacheField name="Housing Updated" numFmtId="0">
      <sharedItems containsSemiMixedTypes="0" containsString="0" containsNumber="1" minValue="100.3" maxValue="175.6"/>
    </cacheField>
    <cacheField name="Fuel and light" numFmtId="0">
      <sharedItems containsSemiMixedTypes="0" containsString="0" containsNumber="1" minValue="105.4" maxValue="183.4"/>
    </cacheField>
    <cacheField name="Household goods and services" numFmtId="0">
      <sharedItems containsSemiMixedTypes="0" containsString="0" containsNumber="1" minValue="104.8" maxValue="179.8"/>
    </cacheField>
    <cacheField name="Health" numFmtId="0">
      <sharedItems containsSemiMixedTypes="0" containsString="0" containsNumber="1" minValue="104" maxValue="187.8"/>
    </cacheField>
    <cacheField name="Transport and communication" numFmtId="0">
      <sharedItems containsSemiMixedTypes="0" containsString="0" containsNumber="1" minValue="103.2" maxValue="169.7"/>
    </cacheField>
    <cacheField name="Recreation and amusement" numFmtId="0">
      <sharedItems containsSemiMixedTypes="0" containsString="0" containsNumber="1" minValue="102.9" maxValue="173.8"/>
    </cacheField>
    <cacheField name="Education" numFmtId="0">
      <sharedItems containsSemiMixedTypes="0" containsString="0" containsNumber="1" minValue="103.5" maxValue="180.3"/>
    </cacheField>
    <cacheField name="Personal care and effects" numFmtId="0">
      <sharedItems containsSemiMixedTypes="0" containsString="0" containsNumber="1" minValue="102.1" maxValue="185.6"/>
    </cacheField>
    <cacheField name="Miscellaneous" numFmtId="0">
      <sharedItems containsSemiMixedTypes="0" containsString="0" containsNumber="1" minValue="103.7" maxValue="179.5"/>
    </cacheField>
    <cacheField name="General index" numFmtId="0">
      <sharedItems containsSemiMixedTypes="0" containsString="0" containsNumber="1" minValue="104" maxValue="179.8"/>
    </cacheField>
    <cacheField name="Food category" numFmtId="0">
      <sharedItems containsSemiMixedTypes="0" containsString="0" containsNumber="1" minValue="1371.6999999999998" maxValue="2435.5828125000003"/>
    </cacheField>
    <cacheField name="Tobacco category" numFmtId="0">
      <sharedItems containsSemiMixedTypes="0" containsString="0" containsNumber="1" minValue="105.1" maxValue="204.2"/>
    </cacheField>
    <cacheField name="Clothing category" numFmtId="0">
      <sharedItems containsSemiMixedTypes="0" containsString="0" containsNumber="1" minValue="210.9" maxValue="379.1"/>
    </cacheField>
    <cacheField name="Housing categpry" numFmtId="0">
      <sharedItems containsSemiMixedTypes="0" containsString="0" containsNumber="1" minValue="518.5" maxValue="902.30000000000007"/>
    </cacheField>
    <cacheField name="Health category" numFmtId="0">
      <sharedItems containsSemiMixedTypes="0" containsString="0" containsNumber="1" minValue="104" maxValue="187.8"/>
    </cacheField>
    <cacheField name="Transport category" numFmtId="0">
      <sharedItems containsSemiMixedTypes="0" containsString="0" containsNumber="1" minValue="103.2" maxValue="169.7"/>
    </cacheField>
    <cacheField name="Recreation &amp; amusement cat" numFmtId="0">
      <sharedItems containsSemiMixedTypes="0" containsString="0" containsNumber="1" minValue="102.9" maxValue="173.8"/>
    </cacheField>
    <cacheField name="Education cat" numFmtId="0">
      <sharedItems containsSemiMixedTypes="0" containsString="0" containsNumber="1" minValue="103.5" maxValue="180.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
  <r>
    <x v="0"/>
    <x v="0"/>
    <x v="0"/>
    <x v="0"/>
    <x v="0"/>
    <n v="106.3"/>
    <n v="108.1"/>
    <n v="104.9"/>
    <n v="106.1"/>
    <n v="103.9"/>
    <n v="101.9"/>
    <n v="106.1"/>
    <n v="106.8"/>
    <n v="103.1"/>
    <n v="104.8"/>
    <n v="106.7"/>
    <n v="105.5"/>
    <n v="105.1"/>
    <n v="106.5"/>
    <n v="105.8"/>
    <n v="106.4"/>
    <s v="NA"/>
    <n v="100.3"/>
    <n v="105.5"/>
    <n v="104.8"/>
    <n v="104"/>
    <n v="103.3"/>
    <n v="103.4"/>
    <n v="103.8"/>
    <n v="104.7"/>
    <n v="104"/>
    <n v="105.1"/>
    <n v="1371.6999999999998"/>
    <n v="105.1"/>
    <n v="212.3"/>
    <n v="519.29999999999995"/>
    <n v="104"/>
    <n v="103.3"/>
    <n v="103.4"/>
    <n v="103.8"/>
  </r>
  <r>
    <x v="1"/>
    <x v="0"/>
    <x v="0"/>
    <x v="0"/>
    <x v="1"/>
    <n v="109.1"/>
    <n v="113"/>
    <n v="103.6"/>
    <n v="103.4"/>
    <n v="102.3"/>
    <n v="102.9"/>
    <n v="105.8"/>
    <n v="105.1"/>
    <n v="101.8"/>
    <n v="105.1"/>
    <n v="107.9"/>
    <n v="105.9"/>
    <n v="105.2"/>
    <n v="105.9"/>
    <n v="105"/>
    <n v="105.8"/>
    <n v="100.3"/>
    <n v="100.3"/>
    <n v="105.4"/>
    <n v="104.8"/>
    <n v="104.1"/>
    <n v="103.2"/>
    <n v="102.9"/>
    <n v="103.5"/>
    <n v="104.3"/>
    <n v="103.7"/>
    <n v="104"/>
    <n v="1376.4"/>
    <n v="105.2"/>
    <n v="210.9"/>
    <n v="518.5"/>
    <n v="104.1"/>
    <n v="103.2"/>
    <n v="102.9"/>
    <n v="103.5"/>
  </r>
  <r>
    <x v="2"/>
    <x v="0"/>
    <x v="0"/>
    <x v="0"/>
    <x v="2"/>
    <n v="107.3"/>
    <n v="110"/>
    <n v="104.4"/>
    <n v="105.1"/>
    <n v="103.2"/>
    <n v="102.2"/>
    <n v="106"/>
    <n v="106.2"/>
    <n v="102.7"/>
    <n v="104.9"/>
    <n v="107.3"/>
    <n v="105.6"/>
    <n v="105.1"/>
    <n v="106.3"/>
    <n v="105.5"/>
    <n v="106.2"/>
    <n v="100.3"/>
    <n v="100.3"/>
    <n v="105.5"/>
    <n v="104.8"/>
    <n v="104"/>
    <n v="103.2"/>
    <n v="103.1"/>
    <n v="103.6"/>
    <n v="104.5"/>
    <n v="103.9"/>
    <n v="104.6"/>
    <n v="1373.3000000000002"/>
    <n v="105.1"/>
    <n v="211.8"/>
    <n v="519"/>
    <n v="104"/>
    <n v="103.2"/>
    <n v="103.1"/>
    <n v="103.6"/>
  </r>
  <r>
    <x v="0"/>
    <x v="0"/>
    <x v="1"/>
    <x v="1"/>
    <x v="3"/>
    <n v="108.7"/>
    <n v="110.2"/>
    <n v="105.4"/>
    <n v="106.7"/>
    <n v="104"/>
    <n v="102.4"/>
    <n v="105.9"/>
    <n v="105.7"/>
    <n v="103.1"/>
    <n v="105.1"/>
    <n v="107.7"/>
    <n v="106.3"/>
    <n v="105.6"/>
    <n v="107.1"/>
    <n v="106.3"/>
    <n v="107"/>
    <s v="NA"/>
    <n v="100.4"/>
    <n v="106.2"/>
    <n v="105.2"/>
    <n v="104.4"/>
    <n v="103.9"/>
    <n v="104"/>
    <n v="104.1"/>
    <n v="104.6"/>
    <n v="104.4"/>
    <n v="105.8"/>
    <n v="1380.3999999999999"/>
    <n v="105.6"/>
    <n v="213.39999999999998"/>
    <n v="520.79999999999995"/>
    <n v="104.4"/>
    <n v="103.9"/>
    <n v="104"/>
    <n v="104.1"/>
  </r>
  <r>
    <x v="1"/>
    <x v="0"/>
    <x v="1"/>
    <x v="1"/>
    <x v="4"/>
    <n v="112.9"/>
    <n v="116.9"/>
    <n v="104"/>
    <n v="103.5"/>
    <n v="103.1"/>
    <n v="104.9"/>
    <n v="104.1"/>
    <n v="103.8"/>
    <n v="102.3"/>
    <n v="106"/>
    <n v="109"/>
    <n v="107.2"/>
    <n v="106"/>
    <n v="106.6"/>
    <n v="105.5"/>
    <n v="106.4"/>
    <n v="100.4"/>
    <n v="100.4"/>
    <n v="105.7"/>
    <n v="105.2"/>
    <n v="104.7"/>
    <n v="104.4"/>
    <n v="103.3"/>
    <n v="103.7"/>
    <n v="104.3"/>
    <n v="104.3"/>
    <n v="104.7"/>
    <n v="1390.6000000000001"/>
    <n v="106"/>
    <n v="212.1"/>
    <n v="519.9"/>
    <n v="104.7"/>
    <n v="104.4"/>
    <n v="103.3"/>
    <n v="103.7"/>
  </r>
  <r>
    <x v="2"/>
    <x v="0"/>
    <x v="1"/>
    <x v="1"/>
    <x v="5"/>
    <n v="110.2"/>
    <n v="112.8"/>
    <n v="104.9"/>
    <n v="105.5"/>
    <n v="103.6"/>
    <n v="103.2"/>
    <n v="105.3"/>
    <n v="105.1"/>
    <n v="102.8"/>
    <n v="105.5"/>
    <n v="108.3"/>
    <n v="106.6"/>
    <n v="105.7"/>
    <n v="106.9"/>
    <n v="106"/>
    <n v="106.8"/>
    <n v="100.4"/>
    <n v="100.4"/>
    <n v="106"/>
    <n v="105.2"/>
    <n v="104.5"/>
    <n v="104.2"/>
    <n v="103.6"/>
    <n v="103.9"/>
    <n v="104.5"/>
    <n v="104.4"/>
    <n v="105.3"/>
    <n v="1384.2"/>
    <n v="105.7"/>
    <n v="212.9"/>
    <n v="520.5"/>
    <n v="104.5"/>
    <n v="104.2"/>
    <n v="103.6"/>
    <n v="103.9"/>
  </r>
  <r>
    <x v="0"/>
    <x v="0"/>
    <x v="2"/>
    <x v="2"/>
    <x v="6"/>
    <n v="108.8"/>
    <n v="109.9"/>
    <n v="105.6"/>
    <n v="106.2"/>
    <n v="105.7"/>
    <n v="101.4"/>
    <n v="105.7"/>
    <n v="105"/>
    <n v="103.3"/>
    <n v="105.6"/>
    <n v="108.2"/>
    <n v="106.6"/>
    <n v="106.5"/>
    <n v="107.6"/>
    <n v="106.8"/>
    <n v="107.5"/>
    <s v="NA"/>
    <n v="100.4"/>
    <n v="106.1"/>
    <n v="105.6"/>
    <n v="104.7"/>
    <n v="104.6"/>
    <n v="104"/>
    <n v="104.3"/>
    <n v="104.3"/>
    <n v="104.6"/>
    <n v="106"/>
    <n v="1382.2"/>
    <n v="106.5"/>
    <n v="214.39999999999998"/>
    <n v="521"/>
    <n v="104.7"/>
    <n v="104.6"/>
    <n v="104"/>
    <n v="104.3"/>
  </r>
  <r>
    <x v="1"/>
    <x v="0"/>
    <x v="2"/>
    <x v="2"/>
    <x v="7"/>
    <n v="111.4"/>
    <n v="113.2"/>
    <n v="104.3"/>
    <n v="102.7"/>
    <n v="104.9"/>
    <n v="103.8"/>
    <n v="103.5"/>
    <n v="102.6"/>
    <n v="102.4"/>
    <n v="107"/>
    <n v="109.8"/>
    <n v="107.3"/>
    <n v="106.8"/>
    <n v="107.2"/>
    <n v="106"/>
    <n v="107"/>
    <n v="100.4"/>
    <n v="100.4"/>
    <n v="106"/>
    <n v="105.7"/>
    <n v="105.2"/>
    <n v="105.5"/>
    <n v="103.5"/>
    <n v="103.8"/>
    <n v="104.2"/>
    <n v="104.9"/>
    <n v="105"/>
    <n v="1386.8"/>
    <n v="106.8"/>
    <n v="213.2"/>
    <n v="521.20000000000005"/>
    <n v="105.2"/>
    <n v="105.5"/>
    <n v="103.5"/>
    <n v="103.8"/>
  </r>
  <r>
    <x v="2"/>
    <x v="0"/>
    <x v="2"/>
    <x v="2"/>
    <x v="8"/>
    <n v="109.7"/>
    <n v="111.2"/>
    <n v="105.1"/>
    <n v="104.9"/>
    <n v="105.3"/>
    <n v="102.2"/>
    <n v="105"/>
    <n v="104.2"/>
    <n v="103"/>
    <n v="106.2"/>
    <n v="108.9"/>
    <n v="106.9"/>
    <n v="106.6"/>
    <n v="107.4"/>
    <n v="106.5"/>
    <n v="107.3"/>
    <n v="100.4"/>
    <n v="100.4"/>
    <n v="106.1"/>
    <n v="105.6"/>
    <n v="104.9"/>
    <n v="105.1"/>
    <n v="103.7"/>
    <n v="104"/>
    <n v="104.3"/>
    <n v="104.7"/>
    <n v="105.5"/>
    <n v="1384.0000000000002"/>
    <n v="106.6"/>
    <n v="213.9"/>
    <n v="521.1"/>
    <n v="104.9"/>
    <n v="105.1"/>
    <n v="103.7"/>
    <n v="104"/>
  </r>
  <r>
    <x v="0"/>
    <x v="0"/>
    <x v="3"/>
    <x v="3"/>
    <x v="6"/>
    <n v="109.5"/>
    <n v="106.9"/>
    <n v="106.3"/>
    <n v="105.7"/>
    <n v="108.3"/>
    <n v="103.4"/>
    <n v="105.7"/>
    <n v="104.2"/>
    <n v="103.2"/>
    <n v="106.5"/>
    <n v="108.8"/>
    <n v="107.1"/>
    <n v="107.1"/>
    <n v="108.1"/>
    <n v="107.4"/>
    <n v="108"/>
    <s v="NA"/>
    <n v="100.5"/>
    <n v="106.5"/>
    <n v="106.1"/>
    <n v="105.1"/>
    <n v="104.4"/>
    <n v="104.5"/>
    <n v="104.8"/>
    <n v="102.7"/>
    <n v="104.6"/>
    <n v="106.4"/>
    <n v="1385.8"/>
    <n v="107.1"/>
    <n v="215.5"/>
    <n v="520.4"/>
    <n v="105.1"/>
    <n v="104.4"/>
    <n v="104.5"/>
    <n v="104.8"/>
  </r>
  <r>
    <x v="1"/>
    <x v="0"/>
    <x v="3"/>
    <x v="3"/>
    <x v="9"/>
    <n v="113.4"/>
    <n v="106"/>
    <n v="104.7"/>
    <n v="102.1"/>
    <n v="109.5"/>
    <n v="109.7"/>
    <n v="104.6"/>
    <n v="102"/>
    <n v="103.5"/>
    <n v="108.2"/>
    <n v="110.6"/>
    <n v="108.8"/>
    <n v="108.5"/>
    <n v="107.9"/>
    <n v="106.4"/>
    <n v="107.7"/>
    <n v="100.5"/>
    <n v="100.5"/>
    <n v="106.4"/>
    <n v="106.5"/>
    <n v="105.7"/>
    <n v="105"/>
    <n v="104"/>
    <n v="105.2"/>
    <n v="103.2"/>
    <n v="105.1"/>
    <n v="105.7"/>
    <n v="1397.6999999999998"/>
    <n v="108.5"/>
    <n v="214.3"/>
    <n v="521.69999999999993"/>
    <n v="105.7"/>
    <n v="105"/>
    <n v="104"/>
    <n v="105.2"/>
  </r>
  <r>
    <x v="2"/>
    <x v="0"/>
    <x v="3"/>
    <x v="3"/>
    <x v="10"/>
    <n v="110.9"/>
    <n v="106.6"/>
    <n v="105.7"/>
    <n v="104.4"/>
    <n v="108.9"/>
    <n v="105.5"/>
    <n v="105.3"/>
    <n v="103.5"/>
    <n v="103.3"/>
    <n v="107.2"/>
    <n v="109.6"/>
    <n v="107.7"/>
    <n v="107.5"/>
    <n v="108"/>
    <n v="107"/>
    <n v="107.9"/>
    <n v="100.5"/>
    <n v="100.5"/>
    <n v="106.5"/>
    <n v="106.3"/>
    <n v="105.3"/>
    <n v="104.7"/>
    <n v="104.2"/>
    <n v="105"/>
    <n v="102.9"/>
    <n v="104.8"/>
    <n v="106.1"/>
    <n v="1390.2"/>
    <n v="107.5"/>
    <n v="215"/>
    <n v="521"/>
    <n v="105.3"/>
    <n v="104.7"/>
    <n v="104.2"/>
    <n v="105"/>
  </r>
  <r>
    <x v="0"/>
    <x v="0"/>
    <x v="4"/>
    <x v="4"/>
    <x v="11"/>
    <n v="109.8"/>
    <n v="105.9"/>
    <n v="107.5"/>
    <n v="105.3"/>
    <n v="108.1"/>
    <n v="107.3"/>
    <n v="106.1"/>
    <n v="103.7"/>
    <n v="104"/>
    <n v="107.4"/>
    <n v="109.9"/>
    <n v="108.1"/>
    <n v="108.1"/>
    <n v="108.8"/>
    <n v="107.9"/>
    <n v="108.6"/>
    <s v="NA"/>
    <n v="100.5"/>
    <n v="107.5"/>
    <n v="106.8"/>
    <n v="105.7"/>
    <n v="104.1"/>
    <n v="105"/>
    <n v="105.5"/>
    <n v="102.1"/>
    <n v="104.8"/>
    <n v="107.2"/>
    <n v="1394"/>
    <n v="108.1"/>
    <n v="216.7"/>
    <n v="521.69999999999993"/>
    <n v="105.7"/>
    <n v="104.1"/>
    <n v="105"/>
    <n v="105.5"/>
  </r>
  <r>
    <x v="1"/>
    <x v="0"/>
    <x v="4"/>
    <x v="4"/>
    <x v="12"/>
    <n v="114.2"/>
    <n v="102.7"/>
    <n v="105.5"/>
    <n v="101.5"/>
    <n v="110.6"/>
    <n v="123.7"/>
    <n v="105.2"/>
    <n v="101.9"/>
    <n v="105"/>
    <n v="109.1"/>
    <n v="111.3"/>
    <n v="111.1"/>
    <n v="109.8"/>
    <n v="108.5"/>
    <n v="106.7"/>
    <n v="108.3"/>
    <n v="100.5"/>
    <n v="100.5"/>
    <n v="107.2"/>
    <n v="107.1"/>
    <n v="106.2"/>
    <n v="103.9"/>
    <n v="104.6"/>
    <n v="105.7"/>
    <n v="102.6"/>
    <n v="104.9"/>
    <n v="106.6"/>
    <n v="1417.1999999999998"/>
    <n v="109.8"/>
    <n v="215.2"/>
    <n v="522.29999999999995"/>
    <n v="106.2"/>
    <n v="103.9"/>
    <n v="104.6"/>
    <n v="105.7"/>
  </r>
  <r>
    <x v="2"/>
    <x v="0"/>
    <x v="4"/>
    <x v="4"/>
    <x v="13"/>
    <n v="111.3"/>
    <n v="104.7"/>
    <n v="106.8"/>
    <n v="103.9"/>
    <n v="109.3"/>
    <n v="112.9"/>
    <n v="105.8"/>
    <n v="103.1"/>
    <n v="104.3"/>
    <n v="108.1"/>
    <n v="110.5"/>
    <n v="109.2"/>
    <n v="108.6"/>
    <n v="108.7"/>
    <n v="107.4"/>
    <n v="108.5"/>
    <n v="100.5"/>
    <n v="100.5"/>
    <n v="107.4"/>
    <n v="106.9"/>
    <n v="105.9"/>
    <n v="104"/>
    <n v="104.8"/>
    <n v="105.6"/>
    <n v="102.3"/>
    <n v="104.8"/>
    <n v="106.9"/>
    <n v="1402.1999999999998"/>
    <n v="108.6"/>
    <n v="216.10000000000002"/>
    <n v="521.9"/>
    <n v="105.9"/>
    <n v="104"/>
    <n v="104.8"/>
    <n v="105.6"/>
  </r>
  <r>
    <x v="0"/>
    <x v="0"/>
    <x v="5"/>
    <x v="5"/>
    <x v="13"/>
    <n v="112.1"/>
    <n v="108.1"/>
    <n v="108.3"/>
    <n v="105.9"/>
    <n v="109.2"/>
    <n v="118"/>
    <n v="106.8"/>
    <n v="104.1"/>
    <n v="105.4"/>
    <n v="108.2"/>
    <n v="111"/>
    <n v="110.6"/>
    <n v="109"/>
    <n v="109.7"/>
    <n v="108.8"/>
    <n v="109.5"/>
    <s v="NA"/>
    <n v="106.6"/>
    <n v="108.5"/>
    <n v="107.5"/>
    <n v="106.3"/>
    <n v="105"/>
    <n v="105.6"/>
    <n v="106.5"/>
    <n v="102.5"/>
    <n v="105.5"/>
    <n v="108.9"/>
    <n v="1420"/>
    <n v="109"/>
    <n v="218.5"/>
    <n v="530.6"/>
    <n v="106.3"/>
    <n v="105"/>
    <n v="105.6"/>
    <n v="106.5"/>
  </r>
  <r>
    <x v="1"/>
    <x v="0"/>
    <x v="5"/>
    <x v="5"/>
    <x v="14"/>
    <n v="120.1"/>
    <n v="112.5"/>
    <n v="107.3"/>
    <n v="101.3"/>
    <n v="112.4"/>
    <n v="143.6"/>
    <n v="105.4"/>
    <n v="101.4"/>
    <n v="106.4"/>
    <n v="110"/>
    <n v="112.2"/>
    <n v="115"/>
    <n v="110.9"/>
    <n v="109.2"/>
    <n v="107.2"/>
    <n v="108.9"/>
    <n v="106.6"/>
    <n v="106.6"/>
    <n v="108"/>
    <n v="107.7"/>
    <n v="106.5"/>
    <n v="105.2"/>
    <n v="105.2"/>
    <n v="108.1"/>
    <n v="103.3"/>
    <n v="106.1"/>
    <n v="109.7"/>
    <n v="1464.6000000000001"/>
    <n v="110.9"/>
    <n v="216.4"/>
    <n v="531.70000000000005"/>
    <n v="106.5"/>
    <n v="105.2"/>
    <n v="105.2"/>
    <n v="108.1"/>
  </r>
  <r>
    <x v="2"/>
    <x v="0"/>
    <x v="5"/>
    <x v="5"/>
    <x v="15"/>
    <n v="114.9"/>
    <n v="109.8"/>
    <n v="107.9"/>
    <n v="104.2"/>
    <n v="110.7"/>
    <n v="126.7"/>
    <n v="106.3"/>
    <n v="103.2"/>
    <n v="105.7"/>
    <n v="109"/>
    <n v="111.6"/>
    <n v="112.2"/>
    <n v="109.5"/>
    <n v="109.5"/>
    <n v="108.1"/>
    <n v="109.3"/>
    <n v="106.6"/>
    <n v="106.6"/>
    <n v="108.3"/>
    <n v="107.6"/>
    <n v="106.4"/>
    <n v="105.1"/>
    <n v="105.4"/>
    <n v="107.4"/>
    <n v="102.8"/>
    <n v="105.8"/>
    <n v="109.3"/>
    <n v="1436"/>
    <n v="109.5"/>
    <n v="217.6"/>
    <n v="531.1"/>
    <n v="106.4"/>
    <n v="105.1"/>
    <n v="105.4"/>
    <n v="107.4"/>
  </r>
  <r>
    <x v="0"/>
    <x v="0"/>
    <x v="6"/>
    <x v="6"/>
    <x v="16"/>
    <n v="114.9"/>
    <n v="110.5"/>
    <n v="109.3"/>
    <n v="106.2"/>
    <n v="110.3"/>
    <n v="129.19999999999999"/>
    <n v="107.1"/>
    <n v="104.3"/>
    <n v="106.4"/>
    <n v="109.1"/>
    <n v="112.1"/>
    <n v="113.1"/>
    <n v="109.8"/>
    <n v="110.5"/>
    <n v="109.5"/>
    <n v="110.3"/>
    <s v="NA"/>
    <n v="107.7"/>
    <n v="109.5"/>
    <n v="108.3"/>
    <n v="106.9"/>
    <n v="106.8"/>
    <n v="106.4"/>
    <n v="107.8"/>
    <n v="102.5"/>
    <n v="106.5"/>
    <n v="110.7"/>
    <n v="1445.8999999999996"/>
    <n v="109.8"/>
    <n v="220"/>
    <n v="534.5"/>
    <n v="106.9"/>
    <n v="106.8"/>
    <n v="106.4"/>
    <n v="107.8"/>
  </r>
  <r>
    <x v="1"/>
    <x v="0"/>
    <x v="6"/>
    <x v="6"/>
    <x v="17"/>
    <n v="119.2"/>
    <n v="114"/>
    <n v="108.3"/>
    <n v="101.1"/>
    <n v="113.2"/>
    <n v="160.9"/>
    <n v="105.1"/>
    <n v="101.3"/>
    <n v="107.5"/>
    <n v="110.4"/>
    <n v="113.1"/>
    <n v="117.5"/>
    <n v="111.7"/>
    <n v="109.8"/>
    <n v="107.8"/>
    <n v="109.5"/>
    <n v="107.7"/>
    <n v="107.7"/>
    <n v="108.6"/>
    <n v="108.1"/>
    <n v="107.1"/>
    <n v="107.3"/>
    <n v="105.9"/>
    <n v="110.1"/>
    <n v="103.2"/>
    <n v="107.3"/>
    <n v="111.4"/>
    <n v="1489.4"/>
    <n v="111.7"/>
    <n v="217.6"/>
    <n v="534.9"/>
    <n v="107.1"/>
    <n v="107.3"/>
    <n v="105.9"/>
    <n v="110.1"/>
  </r>
  <r>
    <x v="2"/>
    <x v="0"/>
    <x v="6"/>
    <x v="6"/>
    <x v="18"/>
    <n v="116.4"/>
    <n v="111.9"/>
    <n v="108.9"/>
    <n v="104.3"/>
    <n v="111.7"/>
    <n v="140"/>
    <n v="106.4"/>
    <n v="103.3"/>
    <n v="106.8"/>
    <n v="109.6"/>
    <n v="112.6"/>
    <n v="114.7"/>
    <n v="110.3"/>
    <n v="110.2"/>
    <n v="108.8"/>
    <n v="110"/>
    <n v="107.7"/>
    <n v="107.7"/>
    <n v="109.2"/>
    <n v="108.2"/>
    <n v="107"/>
    <n v="107.1"/>
    <n v="106.1"/>
    <n v="109.1"/>
    <n v="102.8"/>
    <n v="106.9"/>
    <n v="111"/>
    <n v="1461.3999999999999"/>
    <n v="110.3"/>
    <n v="219"/>
    <n v="534.80000000000007"/>
    <n v="107"/>
    <n v="107.1"/>
    <n v="106.1"/>
    <n v="109.1"/>
  </r>
  <r>
    <x v="0"/>
    <x v="0"/>
    <x v="7"/>
    <x v="7"/>
    <x v="19"/>
    <n v="115.4"/>
    <n v="111.1"/>
    <n v="110"/>
    <n v="106.4"/>
    <n v="110.8"/>
    <n v="138.9"/>
    <n v="107.4"/>
    <n v="104.1"/>
    <n v="106.9"/>
    <n v="109.7"/>
    <n v="112.6"/>
    <n v="114.9"/>
    <n v="110.7"/>
    <n v="111.3"/>
    <n v="110.2"/>
    <n v="111.1"/>
    <s v="NA"/>
    <n v="108.9"/>
    <n v="109.9"/>
    <n v="108.7"/>
    <n v="107.5"/>
    <n v="107.8"/>
    <n v="106.8"/>
    <n v="108.7"/>
    <n v="105"/>
    <n v="107.5"/>
    <n v="112.1"/>
    <n v="1462.5"/>
    <n v="110.7"/>
    <n v="221.5"/>
    <n v="540"/>
    <n v="107.5"/>
    <n v="107.8"/>
    <n v="106.8"/>
    <n v="108.7"/>
  </r>
  <r>
    <x v="1"/>
    <x v="0"/>
    <x v="7"/>
    <x v="7"/>
    <x v="20"/>
    <n v="120.4"/>
    <n v="112.7"/>
    <n v="108.9"/>
    <n v="101.1"/>
    <n v="108.7"/>
    <n v="177"/>
    <n v="104.7"/>
    <n v="101"/>
    <n v="108.5"/>
    <n v="110.9"/>
    <n v="114.3"/>
    <n v="119.6"/>
    <n v="112.4"/>
    <n v="110.6"/>
    <n v="108.3"/>
    <n v="110.2"/>
    <n v="108.9"/>
    <n v="108.9"/>
    <n v="109.3"/>
    <n v="108.7"/>
    <n v="107.6"/>
    <n v="108.1"/>
    <n v="106.5"/>
    <n v="110.8"/>
    <n v="106"/>
    <n v="108.3"/>
    <n v="112.7"/>
    <n v="1506.1000000000001"/>
    <n v="112.4"/>
    <n v="218.89999999999998"/>
    <n v="541.19999999999993"/>
    <n v="107.6"/>
    <n v="108.1"/>
    <n v="106.5"/>
    <n v="110.8"/>
  </r>
  <r>
    <x v="2"/>
    <x v="0"/>
    <x v="7"/>
    <x v="7"/>
    <x v="21"/>
    <n v="117.2"/>
    <n v="111.7"/>
    <n v="109.6"/>
    <n v="104.5"/>
    <n v="109.8"/>
    <n v="151.80000000000001"/>
    <n v="106.5"/>
    <n v="103.1"/>
    <n v="107.4"/>
    <n v="110.2"/>
    <n v="113.4"/>
    <n v="116.6"/>
    <n v="111.2"/>
    <n v="111"/>
    <n v="109.4"/>
    <n v="110.7"/>
    <n v="108.9"/>
    <n v="108.9"/>
    <n v="109.7"/>
    <n v="108.7"/>
    <n v="107.5"/>
    <n v="108"/>
    <n v="106.6"/>
    <n v="109.9"/>
    <n v="105.4"/>
    <n v="107.9"/>
    <n v="112.4"/>
    <n v="1477.4"/>
    <n v="111.2"/>
    <n v="220.4"/>
    <n v="540.6"/>
    <n v="107.5"/>
    <n v="108"/>
    <n v="106.6"/>
    <n v="109.9"/>
  </r>
  <r>
    <x v="0"/>
    <x v="0"/>
    <x v="8"/>
    <x v="8"/>
    <x v="12"/>
    <n v="115.7"/>
    <n v="111.7"/>
    <n v="111"/>
    <n v="107.4"/>
    <n v="110.9"/>
    <n v="154"/>
    <n v="108.1"/>
    <n v="104.2"/>
    <n v="107.9"/>
    <n v="110.4"/>
    <n v="114"/>
    <n v="117.8"/>
    <n v="111.7"/>
    <n v="112.7"/>
    <n v="111.4"/>
    <n v="112.5"/>
    <s v="NA"/>
    <n v="109.7"/>
    <n v="111.1"/>
    <n v="109.6"/>
    <n v="108.3"/>
    <n v="109.3"/>
    <n v="107.7"/>
    <n v="109.8"/>
    <n v="106.7"/>
    <n v="108.7"/>
    <n v="114.2"/>
    <n v="1488.5000000000002"/>
    <n v="111.7"/>
    <n v="224.10000000000002"/>
    <n v="545.79999999999995"/>
    <n v="108.3"/>
    <n v="109.3"/>
    <n v="107.7"/>
    <n v="109.8"/>
  </r>
  <r>
    <x v="1"/>
    <x v="0"/>
    <x v="8"/>
    <x v="8"/>
    <x v="22"/>
    <n v="119.1"/>
    <n v="113.2"/>
    <n v="109.6"/>
    <n v="101.7"/>
    <n v="103.2"/>
    <n v="174.3"/>
    <n v="105.1"/>
    <n v="100.8"/>
    <n v="109.1"/>
    <n v="111.1"/>
    <n v="115.4"/>
    <n v="119.2"/>
    <n v="112.9"/>
    <n v="111.4"/>
    <n v="109"/>
    <n v="111.1"/>
    <n v="109.7"/>
    <n v="109.7"/>
    <n v="109.5"/>
    <n v="109.6"/>
    <n v="107.9"/>
    <n v="110.4"/>
    <n v="107.4"/>
    <n v="111.2"/>
    <n v="106.9"/>
    <n v="109.4"/>
    <n v="113.2"/>
    <n v="1500.4"/>
    <n v="112.9"/>
    <n v="220.4"/>
    <n v="545.09999999999991"/>
    <n v="107.9"/>
    <n v="110.4"/>
    <n v="107.4"/>
    <n v="111.2"/>
  </r>
  <r>
    <x v="2"/>
    <x v="0"/>
    <x v="8"/>
    <x v="8"/>
    <x v="23"/>
    <n v="116.9"/>
    <n v="112.3"/>
    <n v="110.5"/>
    <n v="105.3"/>
    <n v="107.3"/>
    <n v="160.9"/>
    <n v="107.1"/>
    <n v="103.1"/>
    <n v="108.3"/>
    <n v="110.7"/>
    <n v="114.6"/>
    <n v="118.3"/>
    <n v="112"/>
    <n v="112.2"/>
    <n v="110.4"/>
    <n v="111.9"/>
    <n v="109.7"/>
    <n v="109.7"/>
    <n v="110.5"/>
    <n v="109.6"/>
    <n v="108.1"/>
    <n v="109.9"/>
    <n v="107.5"/>
    <n v="110.6"/>
    <n v="106.8"/>
    <n v="109"/>
    <n v="113.7"/>
    <n v="1491.6999999999998"/>
    <n v="112"/>
    <n v="222.60000000000002"/>
    <n v="545.59999999999991"/>
    <n v="108.1"/>
    <n v="109.9"/>
    <n v="107.5"/>
    <n v="110.6"/>
  </r>
  <r>
    <x v="0"/>
    <x v="0"/>
    <x v="9"/>
    <x v="9"/>
    <x v="24"/>
    <n v="115.4"/>
    <n v="112.6"/>
    <n v="111.7"/>
    <n v="107.7"/>
    <n v="113.2"/>
    <n v="164.9"/>
    <n v="108.3"/>
    <n v="103.9"/>
    <n v="108.2"/>
    <n v="111.1"/>
    <n v="114.9"/>
    <n v="119.8"/>
    <n v="112.2"/>
    <n v="113.6"/>
    <n v="112.3"/>
    <n v="113.4"/>
    <s v="NA"/>
    <n v="110.5"/>
    <n v="111.6"/>
    <n v="110.4"/>
    <n v="108.9"/>
    <n v="109.3"/>
    <n v="108.3"/>
    <n v="110.2"/>
    <n v="107.5"/>
    <n v="109.1"/>
    <n v="115.5"/>
    <n v="1508"/>
    <n v="112.2"/>
    <n v="225.89999999999998"/>
    <n v="549.1"/>
    <n v="108.9"/>
    <n v="109.3"/>
    <n v="108.3"/>
    <n v="110.2"/>
  </r>
  <r>
    <x v="1"/>
    <x v="0"/>
    <x v="9"/>
    <x v="9"/>
    <x v="25"/>
    <n v="118.1"/>
    <n v="114.5"/>
    <n v="110.4"/>
    <n v="102.3"/>
    <n v="106.2"/>
    <n v="183.5"/>
    <n v="105.3"/>
    <n v="100.2"/>
    <n v="109.6"/>
    <n v="111.4"/>
    <n v="116"/>
    <n v="120.8"/>
    <n v="113.5"/>
    <n v="112.5"/>
    <n v="109.7"/>
    <n v="112"/>
    <n v="110.5"/>
    <n v="110.5"/>
    <n v="109.7"/>
    <n v="110.2"/>
    <n v="108.2"/>
    <n v="109.7"/>
    <n v="108"/>
    <n v="111.3"/>
    <n v="107.3"/>
    <n v="109.4"/>
    <n v="114"/>
    <n v="1517.1999999999998"/>
    <n v="113.5"/>
    <n v="222.2"/>
    <n v="547.1"/>
    <n v="108.2"/>
    <n v="109.7"/>
    <n v="108"/>
    <n v="111.3"/>
  </r>
  <r>
    <x v="2"/>
    <x v="0"/>
    <x v="9"/>
    <x v="9"/>
    <x v="26"/>
    <n v="116.3"/>
    <n v="113.3"/>
    <n v="111.2"/>
    <n v="105.7"/>
    <n v="109.9"/>
    <n v="171.2"/>
    <n v="107.3"/>
    <n v="102.7"/>
    <n v="108.7"/>
    <n v="111.2"/>
    <n v="115.4"/>
    <n v="120.2"/>
    <n v="112.5"/>
    <n v="113.2"/>
    <n v="111.2"/>
    <n v="112.8"/>
    <n v="110.5"/>
    <n v="110.5"/>
    <n v="110.9"/>
    <n v="110.3"/>
    <n v="108.6"/>
    <n v="109.5"/>
    <n v="108.1"/>
    <n v="110.8"/>
    <n v="107.4"/>
    <n v="109.2"/>
    <n v="114.8"/>
    <n v="1510.2000000000003"/>
    <n v="112.5"/>
    <n v="224.4"/>
    <n v="548.30000000000007"/>
    <n v="108.6"/>
    <n v="109.5"/>
    <n v="108.1"/>
    <n v="110.8"/>
  </r>
  <r>
    <x v="0"/>
    <x v="0"/>
    <x v="10"/>
    <x v="10"/>
    <x v="27"/>
    <n v="114.9"/>
    <n v="116.2"/>
    <n v="112.8"/>
    <n v="108.9"/>
    <n v="116.6"/>
    <n v="178.1"/>
    <n v="109.1"/>
    <n v="103.6"/>
    <n v="109"/>
    <n v="111.8"/>
    <n v="116"/>
    <n v="122.5"/>
    <n v="112.8"/>
    <n v="114.6"/>
    <n v="113.1"/>
    <n v="114.4"/>
    <s v="NA"/>
    <n v="111.1"/>
    <n v="112.6"/>
    <n v="111.3"/>
    <n v="109.7"/>
    <n v="109.6"/>
    <n v="108.7"/>
    <n v="111"/>
    <n v="108.2"/>
    <n v="109.8"/>
    <n v="117.4"/>
    <n v="1536.8"/>
    <n v="112.8"/>
    <n v="227.7"/>
    <n v="553"/>
    <n v="109.7"/>
    <n v="109.6"/>
    <n v="108.7"/>
    <n v="111"/>
  </r>
  <r>
    <x v="1"/>
    <x v="0"/>
    <x v="11"/>
    <x v="11"/>
    <x v="28"/>
    <n v="116.3"/>
    <n v="122.6"/>
    <n v="112"/>
    <n v="103.2"/>
    <n v="110"/>
    <n v="192.8"/>
    <n v="106.3"/>
    <n v="99.5"/>
    <n v="110.3"/>
    <n v="111.8"/>
    <n v="117.1"/>
    <n v="122.9"/>
    <n v="114.1"/>
    <n v="113.5"/>
    <n v="110.3"/>
    <n v="113"/>
    <n v="111.1"/>
    <n v="111.1"/>
    <n v="110"/>
    <n v="110.9"/>
    <n v="108.6"/>
    <n v="109.5"/>
    <n v="108.5"/>
    <n v="111.3"/>
    <n v="107.9"/>
    <n v="109.6"/>
    <n v="115"/>
    <n v="1544.6"/>
    <n v="114.1"/>
    <n v="223.8"/>
    <n v="549.5"/>
    <n v="108.6"/>
    <n v="109.5"/>
    <n v="108.5"/>
    <n v="111.3"/>
  </r>
  <r>
    <x v="2"/>
    <x v="0"/>
    <x v="11"/>
    <x v="11"/>
    <x v="29"/>
    <n v="115.4"/>
    <n v="118.7"/>
    <n v="112.5"/>
    <n v="106.8"/>
    <n v="113.5"/>
    <n v="183.1"/>
    <n v="108.2"/>
    <n v="102.2"/>
    <n v="109.4"/>
    <n v="111.8"/>
    <n v="116.5"/>
    <n v="122.6"/>
    <n v="113.1"/>
    <n v="114.2"/>
    <n v="111.9"/>
    <n v="113.8"/>
    <n v="111.1"/>
    <n v="111.1"/>
    <n v="111.6"/>
    <n v="111.1"/>
    <n v="109.3"/>
    <n v="109.5"/>
    <n v="108.6"/>
    <n v="111.2"/>
    <n v="108.1"/>
    <n v="109.7"/>
    <n v="116.3"/>
    <n v="1538.8"/>
    <n v="113.1"/>
    <n v="226.10000000000002"/>
    <n v="551.6"/>
    <n v="109.3"/>
    <n v="109.5"/>
    <n v="108.6"/>
    <n v="111.2"/>
  </r>
  <r>
    <x v="0"/>
    <x v="0"/>
    <x v="12"/>
    <x v="12"/>
    <x v="30"/>
    <n v="115.9"/>
    <n v="120.4"/>
    <n v="113.8"/>
    <n v="109.5"/>
    <n v="115.5"/>
    <n v="145.69999999999999"/>
    <n v="109.5"/>
    <n v="102.9"/>
    <n v="109.8"/>
    <n v="112.1"/>
    <n v="116.8"/>
    <n v="118.7"/>
    <n v="113.6"/>
    <n v="115.8"/>
    <n v="114"/>
    <n v="115.5"/>
    <s v="NA"/>
    <n v="110.7"/>
    <n v="112.8"/>
    <n v="112.1"/>
    <n v="110.1"/>
    <n v="109.9"/>
    <n v="109.2"/>
    <n v="111.6"/>
    <n v="108.1"/>
    <n v="110.1"/>
    <n v="115.5"/>
    <n v="1509"/>
    <n v="113.6"/>
    <n v="229.8"/>
    <n v="553.80000000000007"/>
    <n v="110.1"/>
    <n v="109.9"/>
    <n v="109.2"/>
    <n v="111.6"/>
  </r>
  <r>
    <x v="1"/>
    <x v="0"/>
    <x v="12"/>
    <x v="12"/>
    <x v="31"/>
    <n v="118.1"/>
    <n v="128.5"/>
    <n v="112.8"/>
    <n v="103.4"/>
    <n v="110.7"/>
    <n v="144.80000000000001"/>
    <n v="107.1"/>
    <n v="98.6"/>
    <n v="111.9"/>
    <n v="112.1"/>
    <n v="118.1"/>
    <n v="117.8"/>
    <n v="115"/>
    <n v="114.2"/>
    <n v="110.9"/>
    <n v="113.7"/>
    <n v="110.7"/>
    <n v="110.7"/>
    <n v="110.4"/>
    <n v="111.3"/>
    <n v="109"/>
    <n v="109.7"/>
    <n v="108.9"/>
    <n v="111.4"/>
    <n v="107.7"/>
    <n v="109.8"/>
    <n v="113.3"/>
    <n v="1504.4"/>
    <n v="115"/>
    <n v="225.10000000000002"/>
    <n v="549.9"/>
    <n v="109"/>
    <n v="109.7"/>
    <n v="108.9"/>
    <n v="111.4"/>
  </r>
  <r>
    <x v="2"/>
    <x v="0"/>
    <x v="12"/>
    <x v="12"/>
    <x v="32"/>
    <n v="116.7"/>
    <n v="123.5"/>
    <n v="113.4"/>
    <n v="107.3"/>
    <n v="113.3"/>
    <n v="145.4"/>
    <n v="108.7"/>
    <n v="101.5"/>
    <n v="110.5"/>
    <n v="112.1"/>
    <n v="117.4"/>
    <n v="118.4"/>
    <n v="114"/>
    <n v="115.2"/>
    <n v="112.7"/>
    <n v="114.8"/>
    <n v="110.7"/>
    <n v="110.7"/>
    <n v="111.9"/>
    <n v="111.7"/>
    <n v="109.7"/>
    <n v="109.8"/>
    <n v="109"/>
    <n v="111.5"/>
    <n v="107.9"/>
    <n v="110"/>
    <n v="114.5"/>
    <n v="1507.3000000000002"/>
    <n v="114"/>
    <n v="227.9"/>
    <n v="552.20000000000005"/>
    <n v="109.7"/>
    <n v="109.8"/>
    <n v="109"/>
    <n v="111.5"/>
  </r>
  <r>
    <x v="0"/>
    <x v="1"/>
    <x v="0"/>
    <x v="13"/>
    <x v="25"/>
    <n v="117.1"/>
    <n v="120.5"/>
    <n v="114.4"/>
    <n v="109"/>
    <n v="115.5"/>
    <n v="123.9"/>
    <n v="109.6"/>
    <n v="101.8"/>
    <n v="110.2"/>
    <n v="112.4"/>
    <n v="117.3"/>
    <n v="116"/>
    <n v="114"/>
    <n v="116.5"/>
    <n v="114.5"/>
    <n v="116.2"/>
    <s v="NA"/>
    <n v="111.6"/>
    <n v="113"/>
    <n v="112.6"/>
    <n v="110.6"/>
    <n v="110.5"/>
    <n v="109.6"/>
    <n v="111.8"/>
    <n v="108.3"/>
    <n v="110.6"/>
    <n v="114.2"/>
    <n v="1486.6000000000001"/>
    <n v="114"/>
    <n v="231"/>
    <n v="556.1"/>
    <n v="110.6"/>
    <n v="110.5"/>
    <n v="109.6"/>
    <n v="111.8"/>
  </r>
  <r>
    <x v="1"/>
    <x v="1"/>
    <x v="0"/>
    <x v="13"/>
    <x v="33"/>
    <n v="122"/>
    <n v="129.9"/>
    <n v="113.6"/>
    <n v="102.9"/>
    <n v="112.1"/>
    <n v="118.9"/>
    <n v="107.5"/>
    <n v="96.9"/>
    <n v="112.7"/>
    <n v="112.1"/>
    <n v="119"/>
    <n v="115.5"/>
    <n v="115.7"/>
    <n v="114.8"/>
    <n v="111.3"/>
    <n v="114.3"/>
    <n v="111.6"/>
    <n v="111.6"/>
    <n v="111"/>
    <n v="111.9"/>
    <n v="109.7"/>
    <n v="110.8"/>
    <n v="109.8"/>
    <n v="111.5"/>
    <n v="108"/>
    <n v="110.5"/>
    <n v="112.9"/>
    <n v="1484.3"/>
    <n v="115.7"/>
    <n v="226.1"/>
    <n v="553"/>
    <n v="109.7"/>
    <n v="110.8"/>
    <n v="109.8"/>
    <n v="111.5"/>
  </r>
  <r>
    <x v="2"/>
    <x v="1"/>
    <x v="0"/>
    <x v="13"/>
    <x v="34"/>
    <n v="118.8"/>
    <n v="124.1"/>
    <n v="114.1"/>
    <n v="106.8"/>
    <n v="113.9"/>
    <n v="122.2"/>
    <n v="108.9"/>
    <n v="100.2"/>
    <n v="111"/>
    <n v="112.3"/>
    <n v="118.1"/>
    <n v="115.8"/>
    <n v="114.5"/>
    <n v="115.8"/>
    <n v="113.2"/>
    <n v="115.4"/>
    <n v="111.6"/>
    <n v="111.6"/>
    <n v="112.2"/>
    <n v="112.3"/>
    <n v="110.3"/>
    <n v="110.7"/>
    <n v="109.7"/>
    <n v="111.6"/>
    <n v="108.2"/>
    <n v="110.6"/>
    <n v="113.6"/>
    <n v="1485.7999999999997"/>
    <n v="114.5"/>
    <n v="229"/>
    <n v="554.9"/>
    <n v="110.3"/>
    <n v="110.7"/>
    <n v="109.7"/>
    <n v="111.6"/>
  </r>
  <r>
    <x v="0"/>
    <x v="1"/>
    <x v="1"/>
    <x v="14"/>
    <x v="35"/>
    <n v="117.7"/>
    <n v="121.2"/>
    <n v="115"/>
    <n v="109"/>
    <n v="116.6"/>
    <n v="116"/>
    <n v="109.8"/>
    <n v="101.1"/>
    <n v="110.4"/>
    <n v="112.9"/>
    <n v="117.8"/>
    <n v="115.3"/>
    <n v="114.2"/>
    <n v="117.1"/>
    <n v="114.5"/>
    <n v="116.7"/>
    <s v="NA"/>
    <n v="112.5"/>
    <n v="113.2"/>
    <n v="112.9"/>
    <n v="110.9"/>
    <n v="110.8"/>
    <n v="109.9"/>
    <n v="112"/>
    <n v="108.7"/>
    <n v="110.9"/>
    <n v="114"/>
    <n v="1482.2"/>
    <n v="114.2"/>
    <n v="231.6"/>
    <n v="558.20000000000005"/>
    <n v="110.9"/>
    <n v="110.8"/>
    <n v="109.9"/>
    <n v="112"/>
  </r>
  <r>
    <x v="1"/>
    <x v="1"/>
    <x v="1"/>
    <x v="14"/>
    <x v="36"/>
    <n v="122"/>
    <n v="124.5"/>
    <n v="115.2"/>
    <n v="102.5"/>
    <n v="114.1"/>
    <n v="111.5"/>
    <n v="108.2"/>
    <n v="95.4"/>
    <n v="113.5"/>
    <n v="112.1"/>
    <n v="119.9"/>
    <n v="115.2"/>
    <n v="116.2"/>
    <n v="115.3"/>
    <n v="111.7"/>
    <n v="114.7"/>
    <n v="112.5"/>
    <n v="112.5"/>
    <n v="111.1"/>
    <n v="112.6"/>
    <n v="110.4"/>
    <n v="111.3"/>
    <n v="110.3"/>
    <n v="111.6"/>
    <n v="108.7"/>
    <n v="111"/>
    <n v="113.1"/>
    <n v="1476"/>
    <n v="116.2"/>
    <n v="227"/>
    <n v="555.9"/>
    <n v="110.4"/>
    <n v="111.3"/>
    <n v="110.3"/>
    <n v="111.6"/>
  </r>
  <r>
    <x v="2"/>
    <x v="1"/>
    <x v="1"/>
    <x v="14"/>
    <x v="37"/>
    <n v="119.2"/>
    <n v="122.5"/>
    <n v="115.1"/>
    <n v="106.6"/>
    <n v="115.4"/>
    <n v="114.5"/>
    <n v="109.3"/>
    <n v="99.2"/>
    <n v="111.4"/>
    <n v="112.6"/>
    <n v="118.8"/>
    <n v="115.3"/>
    <n v="114.7"/>
    <n v="116.4"/>
    <n v="113.3"/>
    <n v="115.9"/>
    <n v="112.5"/>
    <n v="112.5"/>
    <n v="112.4"/>
    <n v="112.8"/>
    <n v="110.7"/>
    <n v="111.1"/>
    <n v="110.1"/>
    <n v="111.8"/>
    <n v="108.7"/>
    <n v="110.9"/>
    <n v="113.6"/>
    <n v="1480.1"/>
    <n v="114.7"/>
    <n v="229.7"/>
    <n v="557.29999999999995"/>
    <n v="110.7"/>
    <n v="111.1"/>
    <n v="110.1"/>
    <n v="111.8"/>
  </r>
  <r>
    <x v="0"/>
    <x v="1"/>
    <x v="2"/>
    <x v="15"/>
    <x v="38"/>
    <n v="118.1"/>
    <n v="120.7"/>
    <n v="116.1"/>
    <n v="109.3"/>
    <n v="119.6"/>
    <n v="117.9"/>
    <n v="110.2"/>
    <n v="101.2"/>
    <n v="110.7"/>
    <n v="113"/>
    <n v="118.3"/>
    <n v="116.2"/>
    <n v="114.6"/>
    <n v="117.5"/>
    <n v="114.9"/>
    <n v="117.2"/>
    <s v="NA"/>
    <n v="113.2"/>
    <n v="113.4"/>
    <n v="113.4"/>
    <n v="111.4"/>
    <n v="111.2"/>
    <n v="110.2"/>
    <n v="112.4"/>
    <n v="108.9"/>
    <n v="111.3"/>
    <n v="114.6"/>
    <n v="1491.4"/>
    <n v="114.6"/>
    <n v="232.4"/>
    <n v="560.19999999999993"/>
    <n v="111.4"/>
    <n v="111.2"/>
    <n v="110.2"/>
    <n v="112.4"/>
  </r>
  <r>
    <x v="1"/>
    <x v="1"/>
    <x v="2"/>
    <x v="15"/>
    <x v="39"/>
    <n v="121.4"/>
    <n v="121.5"/>
    <n v="116.2"/>
    <n v="102.8"/>
    <n v="117.7"/>
    <n v="113.3"/>
    <n v="108.9"/>
    <n v="96.3"/>
    <n v="114.1"/>
    <n v="112.2"/>
    <n v="120.5"/>
    <n v="116"/>
    <n v="116.7"/>
    <n v="115.8"/>
    <n v="112.1"/>
    <n v="115.2"/>
    <n v="113.2"/>
    <n v="113.2"/>
    <n v="110.9"/>
    <n v="113"/>
    <n v="110.8"/>
    <n v="111.6"/>
    <n v="110.9"/>
    <n v="111.8"/>
    <n v="109.2"/>
    <n v="111.4"/>
    <n v="113.7"/>
    <n v="1483"/>
    <n v="116.7"/>
    <n v="227.89999999999998"/>
    <n v="557.70000000000005"/>
    <n v="110.8"/>
    <n v="111.6"/>
    <n v="110.9"/>
    <n v="111.8"/>
  </r>
  <r>
    <x v="2"/>
    <x v="1"/>
    <x v="13"/>
    <x v="16"/>
    <x v="40"/>
    <n v="119.3"/>
    <n v="121"/>
    <n v="116.1"/>
    <n v="106.9"/>
    <n v="118.7"/>
    <n v="116.3"/>
    <n v="109.8"/>
    <n v="99.6"/>
    <n v="111.8"/>
    <n v="112.7"/>
    <n v="119.3"/>
    <n v="116.1"/>
    <n v="115.2"/>
    <n v="116.8"/>
    <n v="113.7"/>
    <n v="116.4"/>
    <n v="113.2"/>
    <n v="113.2"/>
    <n v="112.5"/>
    <n v="113.2"/>
    <n v="111.2"/>
    <n v="111.4"/>
    <n v="110.6"/>
    <n v="112"/>
    <n v="109"/>
    <n v="111.3"/>
    <n v="114.2"/>
    <n v="1488.2999999999997"/>
    <n v="115.2"/>
    <n v="230.5"/>
    <n v="559.19999999999993"/>
    <n v="111.2"/>
    <n v="111.4"/>
    <n v="110.6"/>
    <n v="112"/>
  </r>
  <r>
    <x v="0"/>
    <x v="1"/>
    <x v="3"/>
    <x v="17"/>
    <x v="37"/>
    <n v="118.9"/>
    <n v="118.1"/>
    <n v="117"/>
    <n v="109.7"/>
    <n v="125.5"/>
    <n v="120.5"/>
    <n v="111"/>
    <n v="102.6"/>
    <n v="111.2"/>
    <n v="113.5"/>
    <n v="118.7"/>
    <n v="117.2"/>
    <n v="115.4"/>
    <n v="118.1"/>
    <n v="116.1"/>
    <n v="117.8"/>
    <s v="NA"/>
    <n v="113.9"/>
    <n v="113.4"/>
    <n v="113.7"/>
    <n v="111.8"/>
    <n v="111.2"/>
    <n v="110.5"/>
    <n v="113"/>
    <n v="108.9"/>
    <n v="111.5"/>
    <n v="115.4"/>
    <n v="1504.1000000000001"/>
    <n v="115.4"/>
    <n v="234.2"/>
    <n v="561.4"/>
    <n v="111.8"/>
    <n v="111.2"/>
    <n v="110.5"/>
    <n v="113"/>
  </r>
  <r>
    <x v="1"/>
    <x v="1"/>
    <x v="3"/>
    <x v="17"/>
    <x v="41"/>
    <n v="121.7"/>
    <n v="113.3"/>
    <n v="117"/>
    <n v="103.1"/>
    <n v="126.7"/>
    <n v="121.2"/>
    <n v="111"/>
    <n v="100.3"/>
    <n v="115.3"/>
    <n v="112.7"/>
    <n v="121"/>
    <n v="118.2"/>
    <n v="117.6"/>
    <n v="116.3"/>
    <n v="112.5"/>
    <n v="115.7"/>
    <n v="113.9"/>
    <n v="113.9"/>
    <n v="110.9"/>
    <n v="113.4"/>
    <n v="111"/>
    <n v="111.2"/>
    <n v="111.2"/>
    <n v="112.5"/>
    <n v="109.1"/>
    <n v="111.4"/>
    <n v="114.7"/>
    <n v="1504.0000000000002"/>
    <n v="117.6"/>
    <n v="228.8"/>
    <n v="558.70000000000005"/>
    <n v="111"/>
    <n v="111.2"/>
    <n v="111.2"/>
    <n v="112.5"/>
  </r>
  <r>
    <x v="2"/>
    <x v="1"/>
    <x v="3"/>
    <x v="17"/>
    <x v="42"/>
    <n v="119.9"/>
    <n v="116.2"/>
    <n v="117"/>
    <n v="107.3"/>
    <n v="126.1"/>
    <n v="120.7"/>
    <n v="111"/>
    <n v="101.8"/>
    <n v="112.6"/>
    <n v="113.2"/>
    <n v="119.8"/>
    <n v="117.6"/>
    <n v="116"/>
    <n v="117.4"/>
    <n v="114.6"/>
    <n v="117"/>
    <n v="113.9"/>
    <n v="113.9"/>
    <n v="112.5"/>
    <n v="113.6"/>
    <n v="111.5"/>
    <n v="111.2"/>
    <n v="110.9"/>
    <n v="112.7"/>
    <n v="109"/>
    <n v="111.5"/>
    <n v="115.1"/>
    <n v="1504.1"/>
    <n v="116"/>
    <n v="232"/>
    <n v="560.5"/>
    <n v="111.5"/>
    <n v="111.2"/>
    <n v="110.9"/>
    <n v="112.7"/>
  </r>
  <r>
    <x v="0"/>
    <x v="1"/>
    <x v="4"/>
    <x v="18"/>
    <x v="43"/>
    <n v="120.2"/>
    <n v="116.9"/>
    <n v="118"/>
    <n v="110.1"/>
    <n v="126.3"/>
    <n v="123.9"/>
    <n v="111.5"/>
    <n v="103.5"/>
    <n v="111.6"/>
    <n v="114.2"/>
    <n v="119.2"/>
    <n v="118.2"/>
    <n v="116.3"/>
    <n v="118.7"/>
    <n v="116.8"/>
    <n v="118.5"/>
    <s v="NA"/>
    <n v="114.3"/>
    <n v="113.4"/>
    <n v="114.1"/>
    <n v="112.1"/>
    <n v="111.4"/>
    <n v="110.9"/>
    <n v="113.1"/>
    <n v="108.9"/>
    <n v="111.8"/>
    <n v="116"/>
    <n v="1513.8999999999999"/>
    <n v="116.3"/>
    <n v="235.5"/>
    <n v="562.49999999999989"/>
    <n v="112.1"/>
    <n v="111.4"/>
    <n v="110.9"/>
    <n v="113.1"/>
  </r>
  <r>
    <x v="1"/>
    <x v="1"/>
    <x v="4"/>
    <x v="18"/>
    <x v="44"/>
    <n v="124.1"/>
    <n v="114.2"/>
    <n v="119.1"/>
    <n v="103.5"/>
    <n v="129.19999999999999"/>
    <n v="127"/>
    <n v="112.6"/>
    <n v="101.3"/>
    <n v="117"/>
    <n v="112.9"/>
    <n v="121.7"/>
    <n v="120"/>
    <n v="118.3"/>
    <n v="116.8"/>
    <n v="112.9"/>
    <n v="116.2"/>
    <n v="114.3"/>
    <n v="114.3"/>
    <n v="111.1"/>
    <n v="114.1"/>
    <n v="111.2"/>
    <n v="111.3"/>
    <n v="111.5"/>
    <n v="112.9"/>
    <n v="109.3"/>
    <n v="111.7"/>
    <n v="115.6"/>
    <n v="1525.3000000000002"/>
    <n v="118.3"/>
    <n v="229.7"/>
    <n v="560.5"/>
    <n v="111.2"/>
    <n v="111.3"/>
    <n v="111.5"/>
    <n v="112.9"/>
  </r>
  <r>
    <x v="2"/>
    <x v="1"/>
    <x v="4"/>
    <x v="18"/>
    <x v="45"/>
    <n v="121.6"/>
    <n v="115.9"/>
    <n v="118.4"/>
    <n v="107.7"/>
    <n v="127.7"/>
    <n v="125"/>
    <n v="111.9"/>
    <n v="102.8"/>
    <n v="113.4"/>
    <n v="113.7"/>
    <n v="120.4"/>
    <n v="118.9"/>
    <n v="116.8"/>
    <n v="118"/>
    <n v="115.2"/>
    <n v="117.6"/>
    <n v="114.3"/>
    <n v="114.3"/>
    <n v="112.5"/>
    <n v="114.1"/>
    <n v="111.8"/>
    <n v="111.3"/>
    <n v="111.2"/>
    <n v="113"/>
    <n v="109.1"/>
    <n v="111.8"/>
    <n v="115.8"/>
    <n v="1518.5000000000005"/>
    <n v="116.8"/>
    <n v="233.2"/>
    <n v="561.79999999999995"/>
    <n v="111.8"/>
    <n v="111.3"/>
    <n v="111.2"/>
    <n v="113"/>
  </r>
  <r>
    <x v="0"/>
    <x v="1"/>
    <x v="5"/>
    <x v="19"/>
    <x v="40"/>
    <n v="121.6"/>
    <n v="116.1"/>
    <n v="119.3"/>
    <n v="110.3"/>
    <n v="125.8"/>
    <n v="129.30000000000001"/>
    <n v="112.2"/>
    <n v="103.6"/>
    <n v="112.3"/>
    <n v="114.9"/>
    <n v="120.1"/>
    <n v="119.5"/>
    <n v="117.3"/>
    <n v="119.7"/>
    <n v="117.3"/>
    <n v="119.3"/>
    <s v="NA"/>
    <n v="113.9"/>
    <n v="114.4"/>
    <n v="114.9"/>
    <n v="112.8"/>
    <n v="112.2"/>
    <n v="111.4"/>
    <n v="114.3"/>
    <n v="108"/>
    <n v="112.3"/>
    <n v="117"/>
    <n v="1525.6999999999998"/>
    <n v="117.3"/>
    <n v="237"/>
    <n v="563.5"/>
    <n v="112.8"/>
    <n v="112.2"/>
    <n v="111.4"/>
    <n v="114.3"/>
  </r>
  <r>
    <x v="1"/>
    <x v="1"/>
    <x v="5"/>
    <x v="19"/>
    <x v="46"/>
    <n v="125.9"/>
    <n v="115.4"/>
    <n v="120.4"/>
    <n v="103.4"/>
    <n v="131.19999999999999"/>
    <n v="137.5"/>
    <n v="112.8"/>
    <n v="101.4"/>
    <n v="118.3"/>
    <n v="113.2"/>
    <n v="122.4"/>
    <n v="122"/>
    <n v="119"/>
    <n v="117.4"/>
    <n v="113.2"/>
    <n v="116.7"/>
    <n v="113.9"/>
    <n v="113.9"/>
    <n v="111.2"/>
    <n v="114.3"/>
    <n v="111.4"/>
    <n v="111.5"/>
    <n v="111.8"/>
    <n v="115.1"/>
    <n v="108.7"/>
    <n v="112.2"/>
    <n v="116.4"/>
    <n v="1547"/>
    <n v="119"/>
    <n v="230.60000000000002"/>
    <n v="560.30000000000007"/>
    <n v="111.4"/>
    <n v="111.5"/>
    <n v="111.8"/>
    <n v="115.1"/>
  </r>
  <r>
    <x v="2"/>
    <x v="1"/>
    <x v="5"/>
    <x v="19"/>
    <x v="47"/>
    <n v="123.1"/>
    <n v="115.8"/>
    <n v="119.7"/>
    <n v="107.8"/>
    <n v="128.30000000000001"/>
    <n v="132.1"/>
    <n v="112.4"/>
    <n v="102.9"/>
    <n v="114.3"/>
    <n v="114.2"/>
    <n v="121.2"/>
    <n v="120.4"/>
    <n v="117.8"/>
    <n v="118.8"/>
    <n v="115.6"/>
    <n v="118.3"/>
    <n v="113.9"/>
    <n v="113.9"/>
    <n v="113.2"/>
    <n v="114.6"/>
    <n v="112.3"/>
    <n v="111.8"/>
    <n v="111.6"/>
    <n v="114.8"/>
    <n v="108.3"/>
    <n v="112.3"/>
    <n v="116.7"/>
    <n v="1533.7000000000003"/>
    <n v="117.8"/>
    <n v="234.39999999999998"/>
    <n v="562.30000000000007"/>
    <n v="112.3"/>
    <n v="111.8"/>
    <n v="111.6"/>
    <n v="114.8"/>
  </r>
  <r>
    <x v="0"/>
    <x v="1"/>
    <x v="6"/>
    <x v="20"/>
    <x v="48"/>
    <n v="122.5"/>
    <n v="117.7"/>
    <n v="120.6"/>
    <n v="110.4"/>
    <n v="129.1"/>
    <n v="150.1"/>
    <n v="113.2"/>
    <n v="104.8"/>
    <n v="113.3"/>
    <n v="115.6"/>
    <n v="120.9"/>
    <n v="123.3"/>
    <n v="118"/>
    <n v="120.7"/>
    <n v="118.3"/>
    <n v="120.3"/>
    <s v="NA"/>
    <n v="114.8"/>
    <n v="115.3"/>
    <n v="115.4"/>
    <n v="113.4"/>
    <n v="113.2"/>
    <n v="111.8"/>
    <n v="115.5"/>
    <n v="108.8"/>
    <n v="113.1"/>
    <n v="119.5"/>
    <n v="1563.2"/>
    <n v="118"/>
    <n v="239"/>
    <n v="567.4"/>
    <n v="113.4"/>
    <n v="113.2"/>
    <n v="111.8"/>
    <n v="115.5"/>
  </r>
  <r>
    <x v="1"/>
    <x v="1"/>
    <x v="6"/>
    <x v="20"/>
    <x v="49"/>
    <n v="126.4"/>
    <n v="118"/>
    <n v="121.6"/>
    <n v="103.5"/>
    <n v="133.69999999999999"/>
    <n v="172.4"/>
    <n v="113.1"/>
    <n v="102.7"/>
    <n v="120"/>
    <n v="113.8"/>
    <n v="123.4"/>
    <n v="127.1"/>
    <n v="121"/>
    <n v="118"/>
    <n v="113.6"/>
    <n v="117.4"/>
    <n v="114.8"/>
    <n v="114.8"/>
    <n v="111.6"/>
    <n v="114.9"/>
    <n v="111.5"/>
    <n v="113"/>
    <n v="112.4"/>
    <n v="117.8"/>
    <n v="109.7"/>
    <n v="113.5"/>
    <n v="118.9"/>
    <n v="1599.5"/>
    <n v="121"/>
    <n v="231.6"/>
    <n v="564.5"/>
    <n v="111.5"/>
    <n v="113"/>
    <n v="112.4"/>
    <n v="117.8"/>
  </r>
  <r>
    <x v="2"/>
    <x v="1"/>
    <x v="6"/>
    <x v="20"/>
    <x v="50"/>
    <n v="123.9"/>
    <n v="117.8"/>
    <n v="121"/>
    <n v="107.9"/>
    <n v="131.19999999999999"/>
    <n v="157.69999999999999"/>
    <n v="113.2"/>
    <n v="104.1"/>
    <n v="115.5"/>
    <n v="114.8"/>
    <n v="122.1"/>
    <n v="124.7"/>
    <n v="118.8"/>
    <n v="119.6"/>
    <n v="116.3"/>
    <n v="119.1"/>
    <n v="114.8"/>
    <n v="114.8"/>
    <n v="113.9"/>
    <n v="115.2"/>
    <n v="112.7"/>
    <n v="113.1"/>
    <n v="112.1"/>
    <n v="116.8"/>
    <n v="109.2"/>
    <n v="113.3"/>
    <n v="119.2"/>
    <n v="1576.3"/>
    <n v="118.8"/>
    <n v="235.89999999999998"/>
    <n v="566.4"/>
    <n v="112.7"/>
    <n v="113.1"/>
    <n v="112.1"/>
    <n v="116.8"/>
  </r>
  <r>
    <x v="0"/>
    <x v="1"/>
    <x v="7"/>
    <x v="21"/>
    <x v="51"/>
    <n v="122.8"/>
    <n v="117.8"/>
    <n v="121.9"/>
    <n v="110.6"/>
    <n v="129.69999999999999"/>
    <n v="161.1"/>
    <n v="114.1"/>
    <n v="105.1"/>
    <n v="114.6"/>
    <n v="115.8"/>
    <n v="121.7"/>
    <n v="125.3"/>
    <n v="118.8"/>
    <n v="120.9"/>
    <n v="118.8"/>
    <n v="120.7"/>
    <s v="NA"/>
    <n v="115.5"/>
    <n v="115.4"/>
    <n v="115.9"/>
    <n v="114"/>
    <n v="113.2"/>
    <n v="112.2"/>
    <n v="116.2"/>
    <n v="109.4"/>
    <n v="113.5"/>
    <n v="120.7"/>
    <n v="1582.2999999999997"/>
    <n v="118.8"/>
    <n v="239.7"/>
    <n v="569.70000000000005"/>
    <n v="114"/>
    <n v="113.2"/>
    <n v="112.2"/>
    <n v="116.2"/>
  </r>
  <r>
    <x v="1"/>
    <x v="1"/>
    <x v="7"/>
    <x v="21"/>
    <x v="52"/>
    <n v="127.3"/>
    <n v="116.5"/>
    <n v="122.2"/>
    <n v="103.6"/>
    <n v="132.69999999999999"/>
    <n v="181.9"/>
    <n v="115.2"/>
    <n v="102.7"/>
    <n v="122.1"/>
    <n v="114.4"/>
    <n v="124.7"/>
    <n v="128.9"/>
    <n v="123"/>
    <n v="118.6"/>
    <n v="114.1"/>
    <n v="117.9"/>
    <n v="115.5"/>
    <n v="115.5"/>
    <n v="111.8"/>
    <n v="115.3"/>
    <n v="112.2"/>
    <n v="112.5"/>
    <n v="112.9"/>
    <n v="119.2"/>
    <n v="110.5"/>
    <n v="113.9"/>
    <n v="119.9"/>
    <n v="1617"/>
    <n v="123"/>
    <n v="232.7"/>
    <n v="567"/>
    <n v="112.2"/>
    <n v="112.5"/>
    <n v="112.9"/>
    <n v="119.2"/>
  </r>
  <r>
    <x v="2"/>
    <x v="1"/>
    <x v="7"/>
    <x v="21"/>
    <x v="44"/>
    <n v="124.4"/>
    <n v="117.3"/>
    <n v="122"/>
    <n v="108"/>
    <n v="131.1"/>
    <n v="168.2"/>
    <n v="114.5"/>
    <n v="104.3"/>
    <n v="117.1"/>
    <n v="115.2"/>
    <n v="123.1"/>
    <n v="126.6"/>
    <n v="119.9"/>
    <n v="120"/>
    <n v="116.8"/>
    <n v="119.6"/>
    <n v="115.5"/>
    <n v="115.5"/>
    <n v="114"/>
    <n v="115.6"/>
    <n v="113.3"/>
    <n v="112.8"/>
    <n v="112.6"/>
    <n v="118"/>
    <n v="109.9"/>
    <n v="113.7"/>
    <n v="120.3"/>
    <n v="1594.4999999999998"/>
    <n v="119.9"/>
    <n v="236.8"/>
    <n v="568.70000000000005"/>
    <n v="113.3"/>
    <n v="112.8"/>
    <n v="112.6"/>
    <n v="118"/>
  </r>
  <r>
    <x v="0"/>
    <x v="1"/>
    <x v="8"/>
    <x v="22"/>
    <x v="53"/>
    <n v="122.4"/>
    <n v="117.8"/>
    <n v="122.7"/>
    <n v="110.4"/>
    <n v="129.80000000000001"/>
    <n v="158.80000000000001"/>
    <n v="115"/>
    <n v="104.7"/>
    <n v="114.9"/>
    <n v="116.5"/>
    <n v="122.6"/>
    <n v="125.3"/>
    <n v="119.5"/>
    <n v="121.7"/>
    <n v="119.2"/>
    <n v="121.3"/>
    <s v="NA"/>
    <n v="116.1"/>
    <n v="115.8"/>
    <n v="116.7"/>
    <n v="114.5"/>
    <n v="112.8"/>
    <n v="112.6"/>
    <n v="116.6"/>
    <n v="109.1"/>
    <n v="113.7"/>
    <n v="120.9"/>
    <n v="1583.2"/>
    <n v="119.5"/>
    <n v="240.9"/>
    <n v="571.4"/>
    <n v="114.5"/>
    <n v="112.8"/>
    <n v="112.6"/>
    <n v="116.6"/>
  </r>
  <r>
    <x v="1"/>
    <x v="1"/>
    <x v="8"/>
    <x v="22"/>
    <x v="54"/>
    <n v="125.4"/>
    <n v="116.4"/>
    <n v="122.7"/>
    <n v="103.5"/>
    <n v="124.5"/>
    <n v="168.6"/>
    <n v="116.9"/>
    <n v="101.9"/>
    <n v="122.9"/>
    <n v="114.8"/>
    <n v="125.2"/>
    <n v="126.7"/>
    <n v="124.3"/>
    <n v="119.2"/>
    <n v="114.5"/>
    <n v="118.4"/>
    <n v="116.1"/>
    <n v="116.1"/>
    <n v="111.8"/>
    <n v="115.5"/>
    <n v="112.3"/>
    <n v="111.2"/>
    <n v="113.4"/>
    <n v="120"/>
    <n v="110"/>
    <n v="113.6"/>
    <n v="119.2"/>
    <n v="1593.7000000000003"/>
    <n v="124.3"/>
    <n v="233.7"/>
    <n v="567"/>
    <n v="112.3"/>
    <n v="111.2"/>
    <n v="113.4"/>
    <n v="120"/>
  </r>
  <r>
    <x v="2"/>
    <x v="1"/>
    <x v="8"/>
    <x v="22"/>
    <x v="55"/>
    <n v="123.5"/>
    <n v="117.3"/>
    <n v="122.7"/>
    <n v="107.9"/>
    <n v="127.3"/>
    <n v="162.1"/>
    <n v="115.6"/>
    <n v="103.8"/>
    <n v="117.6"/>
    <n v="115.8"/>
    <n v="123.8"/>
    <n v="125.8"/>
    <n v="120.8"/>
    <n v="120.7"/>
    <n v="117.2"/>
    <n v="120.1"/>
    <n v="116.1"/>
    <n v="116.1"/>
    <n v="114.3"/>
    <n v="116.1"/>
    <n v="113.7"/>
    <n v="112"/>
    <n v="113.1"/>
    <n v="118.6"/>
    <n v="109.5"/>
    <n v="113.7"/>
    <n v="120.1"/>
    <n v="1586.0999999999997"/>
    <n v="120.8"/>
    <n v="237.9"/>
    <n v="569.70000000000005"/>
    <n v="113.7"/>
    <n v="112"/>
    <n v="113.1"/>
    <n v="118.6"/>
  </r>
  <r>
    <x v="0"/>
    <x v="1"/>
    <x v="9"/>
    <x v="23"/>
    <x v="56"/>
    <n v="122.5"/>
    <n v="118.3"/>
    <n v="123.2"/>
    <n v="110.5"/>
    <n v="128.9"/>
    <n v="155.30000000000001"/>
    <n v="115.5"/>
    <n v="104"/>
    <n v="115.3"/>
    <n v="116.8"/>
    <n v="123.2"/>
    <n v="125.1"/>
    <n v="120"/>
    <n v="122.7"/>
    <n v="120.3"/>
    <n v="122.3"/>
    <s v="NA"/>
    <n v="116.7"/>
    <n v="116.4"/>
    <n v="117.5"/>
    <n v="115.3"/>
    <n v="112.6"/>
    <n v="113"/>
    <n v="116.9"/>
    <n v="109.3"/>
    <n v="114"/>
    <n v="121"/>
    <n v="1581.1999999999998"/>
    <n v="120"/>
    <n v="243"/>
    <n v="573.90000000000009"/>
    <n v="115.3"/>
    <n v="112.6"/>
    <n v="113"/>
    <n v="116.9"/>
  </r>
  <r>
    <x v="1"/>
    <x v="1"/>
    <x v="9"/>
    <x v="23"/>
    <x v="57"/>
    <n v="126.1"/>
    <n v="117.8"/>
    <n v="123.1"/>
    <n v="103.5"/>
    <n v="123.5"/>
    <n v="159.6"/>
    <n v="117.4"/>
    <n v="101.2"/>
    <n v="123.8"/>
    <n v="115.2"/>
    <n v="125.9"/>
    <n v="125.8"/>
    <n v="124.3"/>
    <n v="119.6"/>
    <n v="114.9"/>
    <n v="118.9"/>
    <n v="116.7"/>
    <n v="116.7"/>
    <n v="112"/>
    <n v="115.8"/>
    <n v="112.6"/>
    <n v="111"/>
    <n v="113.6"/>
    <n v="120.2"/>
    <n v="110.1"/>
    <n v="113.7"/>
    <n v="119.1"/>
    <n v="1587.5"/>
    <n v="124.3"/>
    <n v="234.5"/>
    <n v="568.30000000000007"/>
    <n v="112.6"/>
    <n v="111"/>
    <n v="113.6"/>
    <n v="120.2"/>
  </r>
  <r>
    <x v="2"/>
    <x v="1"/>
    <x v="9"/>
    <x v="23"/>
    <x v="58"/>
    <n v="123.8"/>
    <n v="118.1"/>
    <n v="123.2"/>
    <n v="107.9"/>
    <n v="126.4"/>
    <n v="156.80000000000001"/>
    <n v="116.1"/>
    <n v="103.1"/>
    <n v="118.1"/>
    <n v="116.1"/>
    <n v="124.5"/>
    <n v="125.4"/>
    <n v="121.1"/>
    <n v="121.5"/>
    <n v="118.1"/>
    <n v="121"/>
    <n v="116.7"/>
    <n v="116.7"/>
    <n v="114.7"/>
    <n v="116.7"/>
    <n v="114.3"/>
    <n v="111.8"/>
    <n v="113.3"/>
    <n v="118.8"/>
    <n v="109.6"/>
    <n v="113.9"/>
    <n v="120.1"/>
    <n v="1582.7"/>
    <n v="121.1"/>
    <n v="239.6"/>
    <n v="571.6"/>
    <n v="114.3"/>
    <n v="111.8"/>
    <n v="113.3"/>
    <n v="118.8"/>
  </r>
  <r>
    <x v="0"/>
    <x v="1"/>
    <x v="11"/>
    <x v="24"/>
    <x v="44"/>
    <n v="122.6"/>
    <n v="119.9"/>
    <n v="124"/>
    <n v="110.5"/>
    <n v="128.80000000000001"/>
    <n v="152"/>
    <n v="116.2"/>
    <n v="103.3"/>
    <n v="115.8"/>
    <n v="116.8"/>
    <n v="124.5"/>
    <n v="124.9"/>
    <n v="120.8"/>
    <n v="123.3"/>
    <n v="120.5"/>
    <n v="122.9"/>
    <s v="NA"/>
    <n v="117.1"/>
    <n v="117.3"/>
    <n v="118.1"/>
    <n v="115.9"/>
    <n v="112"/>
    <n v="113.3"/>
    <n v="117.2"/>
    <n v="108.8"/>
    <n v="114.1"/>
    <n v="121.1"/>
    <n v="1582"/>
    <n v="120.8"/>
    <n v="243.8"/>
    <n v="575.4"/>
    <n v="115.9"/>
    <n v="112"/>
    <n v="113.3"/>
    <n v="117.2"/>
  </r>
  <r>
    <x v="1"/>
    <x v="1"/>
    <x v="11"/>
    <x v="24"/>
    <x v="59"/>
    <n v="125.6"/>
    <n v="122.7"/>
    <n v="124.6"/>
    <n v="103.2"/>
    <n v="122.2"/>
    <n v="153.19999999999999"/>
    <n v="119.3"/>
    <n v="99.8"/>
    <n v="124.6"/>
    <n v="115.8"/>
    <n v="126.9"/>
    <n v="125.4"/>
    <n v="125.8"/>
    <n v="120.3"/>
    <n v="115.4"/>
    <n v="119.5"/>
    <n v="117.1"/>
    <n v="117.1"/>
    <n v="112.6"/>
    <n v="116.4"/>
    <n v="113"/>
    <n v="109.7"/>
    <n v="114"/>
    <n v="120.3"/>
    <n v="109.6"/>
    <n v="113.4"/>
    <n v="119"/>
    <n v="1587.8"/>
    <n v="125.8"/>
    <n v="235.7"/>
    <n v="569.1"/>
    <n v="113"/>
    <n v="109.7"/>
    <n v="114"/>
    <n v="120.3"/>
  </r>
  <r>
    <x v="2"/>
    <x v="1"/>
    <x v="11"/>
    <x v="24"/>
    <x v="60"/>
    <n v="123.7"/>
    <n v="121"/>
    <n v="124.2"/>
    <n v="107.8"/>
    <n v="125.7"/>
    <n v="152.4"/>
    <n v="117.2"/>
    <n v="102.1"/>
    <n v="118.7"/>
    <n v="116.4"/>
    <n v="125.6"/>
    <n v="125.1"/>
    <n v="122.1"/>
    <n v="122.1"/>
    <n v="118.4"/>
    <n v="121.6"/>
    <n v="117.1"/>
    <n v="117.1"/>
    <n v="115.5"/>
    <n v="117.3"/>
    <n v="114.8"/>
    <n v="110.8"/>
    <n v="113.7"/>
    <n v="119"/>
    <n v="109.1"/>
    <n v="113.8"/>
    <n v="120.1"/>
    <n v="1583.2"/>
    <n v="122.1"/>
    <n v="240.5"/>
    <n v="572.79999999999995"/>
    <n v="114.8"/>
    <n v="110.8"/>
    <n v="113.7"/>
    <n v="119"/>
  </r>
  <r>
    <x v="0"/>
    <x v="1"/>
    <x v="12"/>
    <x v="25"/>
    <x v="50"/>
    <n v="122.4"/>
    <n v="121.8"/>
    <n v="124.2"/>
    <n v="110.2"/>
    <n v="128.6"/>
    <n v="140.30000000000001"/>
    <n v="116.3"/>
    <n v="102"/>
    <n v="116"/>
    <n v="117.3"/>
    <n v="124.8"/>
    <n v="123.3"/>
    <n v="121.7"/>
    <n v="123.8"/>
    <n v="120.6"/>
    <n v="123.3"/>
    <s v="NA"/>
    <n v="116.5"/>
    <n v="117.4"/>
    <n v="118.2"/>
    <n v="116.2"/>
    <n v="111.5"/>
    <n v="113.3"/>
    <n v="117.7"/>
    <n v="109.4"/>
    <n v="114.2"/>
    <n v="120.3"/>
    <n v="1569.6"/>
    <n v="121.7"/>
    <n v="244.39999999999998"/>
    <n v="575.70000000000005"/>
    <n v="116.2"/>
    <n v="111.5"/>
    <n v="113.3"/>
    <n v="117.7"/>
  </r>
  <r>
    <x v="1"/>
    <x v="1"/>
    <x v="12"/>
    <x v="25"/>
    <x v="61"/>
    <n v="124.7"/>
    <n v="126.3"/>
    <n v="124.9"/>
    <n v="103"/>
    <n v="122.3"/>
    <n v="141"/>
    <n v="120.1"/>
    <n v="97.8"/>
    <n v="125.4"/>
    <n v="116.1"/>
    <n v="127.6"/>
    <n v="124"/>
    <n v="126.4"/>
    <n v="120.7"/>
    <n v="115.8"/>
    <n v="120"/>
    <n v="116.5"/>
    <n v="116.5"/>
    <n v="113"/>
    <n v="116.8"/>
    <n v="113.2"/>
    <n v="108.8"/>
    <n v="114.3"/>
    <n v="120.7"/>
    <n v="110.4"/>
    <n v="113.4"/>
    <n v="118.4"/>
    <n v="1577.1999999999998"/>
    <n v="126.4"/>
    <n v="236.5"/>
    <n v="570.1"/>
    <n v="113.2"/>
    <n v="108.8"/>
    <n v="114.3"/>
    <n v="120.7"/>
  </r>
  <r>
    <x v="2"/>
    <x v="1"/>
    <x v="12"/>
    <x v="25"/>
    <x v="55"/>
    <n v="123.2"/>
    <n v="123.5"/>
    <n v="124.5"/>
    <n v="107.6"/>
    <n v="125.7"/>
    <n v="140.5"/>
    <n v="117.6"/>
    <n v="100.6"/>
    <n v="119.1"/>
    <n v="116.8"/>
    <n v="126.1"/>
    <n v="123.6"/>
    <n v="123"/>
    <n v="122.6"/>
    <n v="118.6"/>
    <n v="122"/>
    <n v="116.5"/>
    <n v="116.5"/>
    <n v="115.7"/>
    <n v="117.5"/>
    <n v="115.1"/>
    <n v="110.1"/>
    <n v="113.9"/>
    <n v="119.5"/>
    <n v="109.8"/>
    <n v="113.8"/>
    <n v="119.4"/>
    <n v="1571.6999999999998"/>
    <n v="123"/>
    <n v="241.2"/>
    <n v="573.29999999999995"/>
    <n v="115.1"/>
    <n v="110.1"/>
    <n v="113.9"/>
    <n v="119.5"/>
  </r>
  <r>
    <x v="0"/>
    <x v="2"/>
    <x v="0"/>
    <x v="26"/>
    <x v="46"/>
    <n v="123.1"/>
    <n v="122.1"/>
    <n v="124.9"/>
    <n v="111"/>
    <n v="130.4"/>
    <n v="132.30000000000001"/>
    <n v="117.2"/>
    <n v="100.5"/>
    <n v="117.2"/>
    <n v="117.9"/>
    <n v="125.6"/>
    <n v="122.8"/>
    <n v="122.7"/>
    <n v="124.4"/>
    <n v="121.6"/>
    <n v="124"/>
    <s v="NA"/>
    <n v="117.3"/>
    <n v="118.4"/>
    <n v="118.9"/>
    <n v="116.6"/>
    <n v="111"/>
    <n v="114"/>
    <n v="118.2"/>
    <n v="110.2"/>
    <n v="114.5"/>
    <n v="120.3"/>
    <n v="1568.1"/>
    <n v="122.7"/>
    <n v="246"/>
    <n v="579.29999999999995"/>
    <n v="116.6"/>
    <n v="111"/>
    <n v="114"/>
    <n v="118.2"/>
  </r>
  <r>
    <x v="1"/>
    <x v="2"/>
    <x v="0"/>
    <x v="26"/>
    <x v="61"/>
    <n v="125.5"/>
    <n v="126.6"/>
    <n v="125.2"/>
    <n v="104.3"/>
    <n v="121.3"/>
    <n v="134.4"/>
    <n v="122.9"/>
    <n v="96.1"/>
    <n v="126.6"/>
    <n v="116.5"/>
    <n v="128"/>
    <n v="123.5"/>
    <n v="127.4"/>
    <n v="121"/>
    <n v="116.1"/>
    <n v="120.2"/>
    <n v="117.3"/>
    <n v="117.3"/>
    <n v="113.4"/>
    <n v="117.2"/>
    <n v="113.7"/>
    <n v="107.9"/>
    <n v="114.6"/>
    <n v="120.8"/>
    <n v="111.4"/>
    <n v="113.4"/>
    <n v="118.5"/>
    <n v="1574.8999999999999"/>
    <n v="127.4"/>
    <n v="237.1"/>
    <n v="572.69999999999993"/>
    <n v="113.7"/>
    <n v="107.9"/>
    <n v="114.6"/>
    <n v="120.8"/>
  </r>
  <r>
    <x v="2"/>
    <x v="2"/>
    <x v="0"/>
    <x v="26"/>
    <x v="62"/>
    <n v="123.9"/>
    <n v="123.8"/>
    <n v="125"/>
    <n v="108.5"/>
    <n v="126.2"/>
    <n v="133"/>
    <n v="119.1"/>
    <n v="99"/>
    <n v="120.3"/>
    <n v="117.3"/>
    <n v="126.7"/>
    <n v="123.1"/>
    <n v="124"/>
    <n v="123.1"/>
    <n v="119.3"/>
    <n v="122.5"/>
    <n v="117.3"/>
    <n v="117.3"/>
    <n v="116.5"/>
    <n v="118.1"/>
    <n v="115.5"/>
    <n v="109.4"/>
    <n v="114.3"/>
    <n v="119.7"/>
    <n v="110.7"/>
    <n v="114"/>
    <n v="119.5"/>
    <n v="1569.3"/>
    <n v="124"/>
    <n v="242.39999999999998"/>
    <n v="576.59999999999991"/>
    <n v="115.5"/>
    <n v="109.4"/>
    <n v="114.3"/>
    <n v="119.7"/>
  </r>
  <r>
    <x v="0"/>
    <x v="2"/>
    <x v="1"/>
    <x v="27"/>
    <x v="62"/>
    <n v="124.4"/>
    <n v="122.1"/>
    <n v="125.8"/>
    <n v="111.5"/>
    <n v="129.4"/>
    <n v="128.19999999999999"/>
    <n v="118.8"/>
    <n v="100"/>
    <n v="118.6"/>
    <n v="118.8"/>
    <n v="126.8"/>
    <n v="122.8"/>
    <n v="124.2"/>
    <n v="125.4"/>
    <n v="122.7"/>
    <n v="125"/>
    <s v="NA"/>
    <n v="118.1"/>
    <n v="120"/>
    <n v="119.6"/>
    <n v="117.7"/>
    <n v="110.9"/>
    <n v="114.8"/>
    <n v="118.7"/>
    <n v="110.8"/>
    <n v="115"/>
    <n v="120.6"/>
    <n v="1570.5999999999997"/>
    <n v="124.2"/>
    <n v="248.10000000000002"/>
    <n v="583.5"/>
    <n v="117.7"/>
    <n v="110.9"/>
    <n v="114.8"/>
    <n v="118.7"/>
  </r>
  <r>
    <x v="1"/>
    <x v="2"/>
    <x v="1"/>
    <x v="27"/>
    <x v="63"/>
    <n v="126.5"/>
    <n v="119.5"/>
    <n v="125.6"/>
    <n v="104.9"/>
    <n v="121.6"/>
    <n v="131.80000000000001"/>
    <n v="125.1"/>
    <n v="95"/>
    <n v="127.7"/>
    <n v="116.8"/>
    <n v="128.6"/>
    <n v="123.7"/>
    <n v="128.1"/>
    <n v="121.3"/>
    <n v="116.5"/>
    <n v="120.6"/>
    <n v="118.1"/>
    <n v="118.1"/>
    <n v="114"/>
    <n v="117.7"/>
    <n v="114.1"/>
    <n v="106.8"/>
    <n v="114.9"/>
    <n v="120.4"/>
    <n v="111.7"/>
    <n v="113.2"/>
    <n v="118.7"/>
    <n v="1571.1000000000001"/>
    <n v="128.1"/>
    <n v="237.8"/>
    <n v="574.70000000000005"/>
    <n v="114.1"/>
    <n v="106.8"/>
    <n v="114.9"/>
    <n v="120.4"/>
  </r>
  <r>
    <x v="2"/>
    <x v="2"/>
    <x v="1"/>
    <x v="27"/>
    <x v="64"/>
    <n v="125.1"/>
    <n v="121.1"/>
    <n v="125.7"/>
    <n v="109.1"/>
    <n v="125.8"/>
    <n v="129.4"/>
    <n v="120.9"/>
    <n v="98.3"/>
    <n v="121.6"/>
    <n v="118"/>
    <n v="127.6"/>
    <n v="123.1"/>
    <n v="125.2"/>
    <n v="123.8"/>
    <n v="120.1"/>
    <n v="123.3"/>
    <n v="118.1"/>
    <n v="118.1"/>
    <n v="117.7"/>
    <n v="118.7"/>
    <n v="116.3"/>
    <n v="108.7"/>
    <n v="114.9"/>
    <n v="119.7"/>
    <n v="111.2"/>
    <n v="114.1"/>
    <n v="119.7"/>
    <n v="1569.3999999999996"/>
    <n v="125.2"/>
    <n v="243.89999999999998"/>
    <n v="579.79999999999995"/>
    <n v="116.3"/>
    <n v="108.7"/>
    <n v="114.9"/>
    <n v="119.7"/>
  </r>
  <r>
    <x v="0"/>
    <x v="2"/>
    <x v="2"/>
    <x v="28"/>
    <x v="60"/>
    <n v="124.7"/>
    <n v="118.9"/>
    <n v="126"/>
    <n v="111.8"/>
    <n v="130.9"/>
    <n v="128"/>
    <n v="119.9"/>
    <n v="98.9"/>
    <n v="119.4"/>
    <n v="118.9"/>
    <n v="127.7"/>
    <n v="123.1"/>
    <n v="124.7"/>
    <n v="126"/>
    <n v="122.9"/>
    <n v="125.5"/>
    <s v="NA"/>
    <n v="118.6"/>
    <n v="120.6"/>
    <n v="120.2"/>
    <n v="118.2"/>
    <n v="111.6"/>
    <n v="115.5"/>
    <n v="119.4"/>
    <n v="110.8"/>
    <n v="115.5"/>
    <n v="121.1"/>
    <n v="1571.5"/>
    <n v="124.7"/>
    <n v="248.9"/>
    <n v="585.70000000000005"/>
    <n v="118.2"/>
    <n v="111.6"/>
    <n v="115.5"/>
    <n v="119.4"/>
  </r>
  <r>
    <x v="1"/>
    <x v="2"/>
    <x v="2"/>
    <x v="28"/>
    <x v="61"/>
    <n v="126.7"/>
    <n v="113.5"/>
    <n v="125.9"/>
    <n v="104.8"/>
    <n v="123.8"/>
    <n v="131.4"/>
    <n v="127.2"/>
    <n v="93.2"/>
    <n v="127.4"/>
    <n v="117"/>
    <n v="129.19999999999999"/>
    <n v="123.9"/>
    <n v="128.80000000000001"/>
    <n v="121.7"/>
    <n v="116.9"/>
    <n v="120.9"/>
    <n v="118.6"/>
    <n v="118.6"/>
    <n v="114.4"/>
    <n v="118"/>
    <n v="114.3"/>
    <n v="108.4"/>
    <n v="115.4"/>
    <n v="120.6"/>
    <n v="111.3"/>
    <n v="113.8"/>
    <n v="119.1"/>
    <n v="1568.0000000000002"/>
    <n v="128.80000000000001"/>
    <n v="238.60000000000002"/>
    <n v="576.1"/>
    <n v="114.3"/>
    <n v="108.4"/>
    <n v="115.4"/>
    <n v="120.6"/>
  </r>
  <r>
    <x v="2"/>
    <x v="2"/>
    <x v="2"/>
    <x v="28"/>
    <x v="65"/>
    <n v="125.4"/>
    <n v="116.8"/>
    <n v="126"/>
    <n v="109.2"/>
    <n v="127.6"/>
    <n v="129.19999999999999"/>
    <n v="122.4"/>
    <n v="97"/>
    <n v="122.1"/>
    <n v="118.1"/>
    <n v="128.4"/>
    <n v="123.4"/>
    <n v="125.8"/>
    <n v="124.3"/>
    <n v="120.4"/>
    <n v="123.7"/>
    <n v="118.6"/>
    <n v="118.6"/>
    <n v="118.3"/>
    <n v="119.2"/>
    <n v="116.7"/>
    <n v="109.9"/>
    <n v="115.4"/>
    <n v="120.1"/>
    <n v="111"/>
    <n v="114.7"/>
    <n v="120.2"/>
    <n v="1569.1"/>
    <n v="125.8"/>
    <n v="244.7"/>
    <n v="581.79999999999995"/>
    <n v="116.7"/>
    <n v="109.9"/>
    <n v="115.4"/>
    <n v="120.1"/>
  </r>
  <r>
    <x v="0"/>
    <x v="2"/>
    <x v="3"/>
    <x v="29"/>
    <x v="60"/>
    <n v="125.5"/>
    <n v="117.2"/>
    <n v="126.8"/>
    <n v="111.9"/>
    <n v="134.19999999999999"/>
    <n v="127.5"/>
    <n v="121.5"/>
    <n v="97.8"/>
    <n v="119.8"/>
    <n v="119.4"/>
    <n v="128.69999999999999"/>
    <n v="123.6"/>
    <n v="125.7"/>
    <n v="126.4"/>
    <n v="123.3"/>
    <n v="126"/>
    <s v="NA"/>
    <n v="119.2"/>
    <n v="121.2"/>
    <n v="120.9"/>
    <n v="118.6"/>
    <n v="111.9"/>
    <n v="116.2"/>
    <n v="119.9"/>
    <n v="111.6"/>
    <n v="116"/>
    <n v="121.5"/>
    <n v="1577.2"/>
    <n v="125.7"/>
    <n v="249.7"/>
    <n v="588.9"/>
    <n v="118.6"/>
    <n v="111.9"/>
    <n v="116.2"/>
    <n v="119.9"/>
  </r>
  <r>
    <x v="1"/>
    <x v="2"/>
    <x v="3"/>
    <x v="29"/>
    <x v="49"/>
    <n v="128.19999999999999"/>
    <n v="110"/>
    <n v="126.3"/>
    <n v="104.5"/>
    <n v="130.6"/>
    <n v="130.80000000000001"/>
    <n v="131.30000000000001"/>
    <n v="91.6"/>
    <n v="127.7"/>
    <n v="117.2"/>
    <n v="129.5"/>
    <n v="124.6"/>
    <n v="130.1"/>
    <n v="122.1"/>
    <n v="117.2"/>
    <n v="121.3"/>
    <n v="119.2"/>
    <n v="119.2"/>
    <n v="114.7"/>
    <n v="118.4"/>
    <n v="114.6"/>
    <n v="108.4"/>
    <n v="115.6"/>
    <n v="121.7"/>
    <n v="111.8"/>
    <n v="114.2"/>
    <n v="119.7"/>
    <n v="1576.1"/>
    <n v="130.1"/>
    <n v="239.3"/>
    <n v="578.30000000000007"/>
    <n v="114.6"/>
    <n v="108.4"/>
    <n v="115.6"/>
    <n v="121.7"/>
  </r>
  <r>
    <x v="2"/>
    <x v="2"/>
    <x v="3"/>
    <x v="29"/>
    <x v="65"/>
    <n v="126.4"/>
    <n v="114.4"/>
    <n v="126.6"/>
    <n v="109.2"/>
    <n v="132.5"/>
    <n v="128.6"/>
    <n v="124.8"/>
    <n v="95.7"/>
    <n v="122.4"/>
    <n v="118.5"/>
    <n v="129.1"/>
    <n v="124"/>
    <n v="126.9"/>
    <n v="124.7"/>
    <n v="120.8"/>
    <n v="124.1"/>
    <n v="119.2"/>
    <n v="119.2"/>
    <n v="118.7"/>
    <n v="119.7"/>
    <n v="117.1"/>
    <n v="110.1"/>
    <n v="115.9"/>
    <n v="121"/>
    <n v="111.7"/>
    <n v="115.1"/>
    <n v="120.7"/>
    <n v="1575.7"/>
    <n v="126.9"/>
    <n v="245.5"/>
    <n v="584.4"/>
    <n v="117.1"/>
    <n v="110.1"/>
    <n v="115.9"/>
    <n v="121"/>
  </r>
  <r>
    <x v="0"/>
    <x v="2"/>
    <x v="4"/>
    <x v="30"/>
    <x v="65"/>
    <n v="127.1"/>
    <n v="117.3"/>
    <n v="127.7"/>
    <n v="112.5"/>
    <n v="134.1"/>
    <n v="128.5"/>
    <n v="124.3"/>
    <n v="97.6"/>
    <n v="120.7"/>
    <n v="120.2"/>
    <n v="129.80000000000001"/>
    <n v="124.4"/>
    <n v="126.7"/>
    <n v="127.3"/>
    <n v="124.1"/>
    <n v="126.8"/>
    <s v="NA"/>
    <n v="119.6"/>
    <n v="121.9"/>
    <n v="121.5"/>
    <n v="119.4"/>
    <n v="113.3"/>
    <n v="116.7"/>
    <n v="120.5"/>
    <n v="112.3"/>
    <n v="116.9"/>
    <n v="122.4"/>
    <n v="1587.7"/>
    <n v="126.7"/>
    <n v="251.39999999999998"/>
    <n v="592.20000000000005"/>
    <n v="119.4"/>
    <n v="113.3"/>
    <n v="116.7"/>
    <n v="120.5"/>
  </r>
  <r>
    <x v="1"/>
    <x v="2"/>
    <x v="4"/>
    <x v="30"/>
    <x v="49"/>
    <n v="129.69999999999999"/>
    <n v="111.3"/>
    <n v="126.6"/>
    <n v="105.2"/>
    <n v="130.80000000000001"/>
    <n v="135.6"/>
    <n v="142.6"/>
    <n v="90.8"/>
    <n v="128.80000000000001"/>
    <n v="117.7"/>
    <n v="129.9"/>
    <n v="126.1"/>
    <n v="131.30000000000001"/>
    <n v="122.4"/>
    <n v="117.4"/>
    <n v="121.6"/>
    <n v="119.6"/>
    <n v="119.6"/>
    <n v="114.9"/>
    <n v="118.7"/>
    <n v="114.9"/>
    <n v="110.8"/>
    <n v="116"/>
    <n v="122"/>
    <n v="112.4"/>
    <n v="115.2"/>
    <n v="120.7"/>
    <n v="1598.9"/>
    <n v="131.30000000000001"/>
    <n v="239.8"/>
    <n v="580.80000000000007"/>
    <n v="114.9"/>
    <n v="110.8"/>
    <n v="116"/>
    <n v="122"/>
  </r>
  <r>
    <x v="2"/>
    <x v="2"/>
    <x v="4"/>
    <x v="30"/>
    <x v="66"/>
    <n v="128"/>
    <n v="115"/>
    <n v="127.3"/>
    <n v="109.8"/>
    <n v="132.6"/>
    <n v="130.9"/>
    <n v="130.5"/>
    <n v="95.3"/>
    <n v="123.4"/>
    <n v="119.2"/>
    <n v="129.80000000000001"/>
    <n v="125"/>
    <n v="127.9"/>
    <n v="125.4"/>
    <n v="121.3"/>
    <n v="124.7"/>
    <n v="119.6"/>
    <n v="119.6"/>
    <n v="119.2"/>
    <n v="120.2"/>
    <n v="117.7"/>
    <n v="112"/>
    <n v="116.3"/>
    <n v="121.4"/>
    <n v="112.3"/>
    <n v="116.1"/>
    <n v="121.6"/>
    <n v="1590.4"/>
    <n v="127.9"/>
    <n v="246.7"/>
    <n v="587.4"/>
    <n v="117.7"/>
    <n v="112"/>
    <n v="116.3"/>
    <n v="121.4"/>
  </r>
  <r>
    <x v="0"/>
    <x v="2"/>
    <x v="5"/>
    <x v="31"/>
    <x v="67"/>
    <n v="130.4"/>
    <n v="122.1"/>
    <n v="128.69999999999999"/>
    <n v="114.1"/>
    <n v="133.19999999999999"/>
    <n v="135.19999999999999"/>
    <n v="131.9"/>
    <n v="96.3"/>
    <n v="123"/>
    <n v="121.1"/>
    <n v="131.19999999999999"/>
    <n v="126.6"/>
    <n v="128.19999999999999"/>
    <n v="128.4"/>
    <n v="125.1"/>
    <n v="128"/>
    <s v="NA"/>
    <n v="119"/>
    <n v="122.6"/>
    <n v="122.8"/>
    <n v="120.4"/>
    <n v="114.2"/>
    <n v="117.9"/>
    <n v="122"/>
    <n v="113"/>
    <n v="117.9"/>
    <n v="124.1"/>
    <n v="1617.8999999999999"/>
    <n v="128.19999999999999"/>
    <n v="253.5"/>
    <n v="595.29999999999995"/>
    <n v="120.4"/>
    <n v="114.2"/>
    <n v="117.9"/>
    <n v="122"/>
  </r>
  <r>
    <x v="1"/>
    <x v="2"/>
    <x v="5"/>
    <x v="31"/>
    <x v="66"/>
    <n v="134.4"/>
    <n v="120.9"/>
    <n v="127.3"/>
    <n v="106"/>
    <n v="132.30000000000001"/>
    <n v="146.69999999999999"/>
    <n v="148.1"/>
    <n v="89.8"/>
    <n v="130.5"/>
    <n v="118"/>
    <n v="130.5"/>
    <n v="128.5"/>
    <n v="132.1"/>
    <n v="123.2"/>
    <n v="117.6"/>
    <n v="122.3"/>
    <n v="119"/>
    <n v="119"/>
    <n v="115.1"/>
    <n v="119.2"/>
    <n v="115.4"/>
    <n v="111.7"/>
    <n v="116.2"/>
    <n v="123.8"/>
    <n v="112.5"/>
    <n v="116"/>
    <n v="121.7"/>
    <n v="1636.6"/>
    <n v="132.1"/>
    <n v="240.8"/>
    <n v="581.79999999999995"/>
    <n v="115.4"/>
    <n v="111.7"/>
    <n v="116.2"/>
    <n v="123.8"/>
  </r>
  <r>
    <x v="2"/>
    <x v="2"/>
    <x v="5"/>
    <x v="31"/>
    <x v="68"/>
    <n v="131.80000000000001"/>
    <n v="121.6"/>
    <n v="128.19999999999999"/>
    <n v="111.1"/>
    <n v="132.80000000000001"/>
    <n v="139.1"/>
    <n v="137.4"/>
    <n v="94.1"/>
    <n v="125.5"/>
    <n v="119.8"/>
    <n v="130.9"/>
    <n v="127.3"/>
    <n v="129.19999999999999"/>
    <n v="126.4"/>
    <n v="122"/>
    <n v="125.7"/>
    <n v="119"/>
    <n v="119"/>
    <n v="119.8"/>
    <n v="121.1"/>
    <n v="118.5"/>
    <n v="112.9"/>
    <n v="116.9"/>
    <n v="123.1"/>
    <n v="112.8"/>
    <n v="117"/>
    <n v="123"/>
    <n v="1623.5"/>
    <n v="129.19999999999999"/>
    <n v="248.4"/>
    <n v="589.70000000000005"/>
    <n v="118.5"/>
    <n v="112.9"/>
    <n v="116.9"/>
    <n v="123.1"/>
  </r>
  <r>
    <x v="0"/>
    <x v="2"/>
    <x v="6"/>
    <x v="32"/>
    <x v="61"/>
    <n v="131.5"/>
    <n v="122"/>
    <n v="128.69999999999999"/>
    <n v="113.5"/>
    <n v="133.30000000000001"/>
    <n v="140.80000000000001"/>
    <n v="133.80000000000001"/>
    <n v="94.1"/>
    <n v="123.4"/>
    <n v="121"/>
    <n v="131.69999999999999"/>
    <n v="127.5"/>
    <n v="129.4"/>
    <n v="128.80000000000001"/>
    <n v="125.5"/>
    <n v="128.30000000000001"/>
    <s v="NA"/>
    <n v="119.9"/>
    <n v="123"/>
    <n v="123"/>
    <n v="120.8"/>
    <n v="114.1"/>
    <n v="118"/>
    <n v="122.9"/>
    <n v="112.7"/>
    <n v="118.1"/>
    <n v="124.7"/>
    <n v="1625.3"/>
    <n v="129.4"/>
    <n v="254.3"/>
    <n v="596.69999999999993"/>
    <n v="120.8"/>
    <n v="114.1"/>
    <n v="118"/>
    <n v="122.9"/>
  </r>
  <r>
    <x v="1"/>
    <x v="2"/>
    <x v="6"/>
    <x v="32"/>
    <x v="58"/>
    <n v="134.30000000000001"/>
    <n v="119.5"/>
    <n v="127.7"/>
    <n v="106.3"/>
    <n v="132.80000000000001"/>
    <n v="153.5"/>
    <n v="149.5"/>
    <n v="85.7"/>
    <n v="131.5"/>
    <n v="118.3"/>
    <n v="131.1"/>
    <n v="129.5"/>
    <n v="133.1"/>
    <n v="123.5"/>
    <n v="117.9"/>
    <n v="122.7"/>
    <n v="119.9"/>
    <n v="119.9"/>
    <n v="115.3"/>
    <n v="119.5"/>
    <n v="116"/>
    <n v="111.5"/>
    <n v="116.6"/>
    <n v="125.4"/>
    <n v="111.7"/>
    <n v="116.3"/>
    <n v="122.4"/>
    <n v="1642.8999999999999"/>
    <n v="133.1"/>
    <n v="241.4"/>
    <n v="582.69999999999993"/>
    <n v="116"/>
    <n v="111.5"/>
    <n v="116.6"/>
    <n v="125.4"/>
  </r>
  <r>
    <x v="2"/>
    <x v="2"/>
    <x v="6"/>
    <x v="32"/>
    <x v="64"/>
    <n v="132.5"/>
    <n v="121"/>
    <n v="128.30000000000001"/>
    <n v="110.9"/>
    <n v="133.1"/>
    <n v="145.1"/>
    <n v="139.1"/>
    <n v="91.3"/>
    <n v="126.1"/>
    <n v="119.9"/>
    <n v="131.4"/>
    <n v="128.19999999999999"/>
    <n v="130.4"/>
    <n v="126.7"/>
    <n v="122.3"/>
    <n v="126.1"/>
    <n v="119.9"/>
    <n v="119.9"/>
    <n v="120.1"/>
    <n v="121.3"/>
    <n v="119"/>
    <n v="112.7"/>
    <n v="117.2"/>
    <n v="124.4"/>
    <n v="112.3"/>
    <n v="117.2"/>
    <n v="123.6"/>
    <n v="1630.6000000000001"/>
    <n v="130.4"/>
    <n v="249"/>
    <n v="590.80000000000007"/>
    <n v="119"/>
    <n v="112.7"/>
    <n v="117.2"/>
    <n v="124.4"/>
  </r>
  <r>
    <x v="0"/>
    <x v="2"/>
    <x v="7"/>
    <x v="33"/>
    <x v="69"/>
    <n v="131.30000000000001"/>
    <n v="121.3"/>
    <n v="128.80000000000001"/>
    <n v="114"/>
    <n v="134.19999999999999"/>
    <n v="153.6"/>
    <n v="137.9"/>
    <n v="93.1"/>
    <n v="123.9"/>
    <n v="121.5"/>
    <n v="132.5"/>
    <n v="129.80000000000001"/>
    <n v="130.1"/>
    <n v="129.5"/>
    <n v="126.3"/>
    <n v="129"/>
    <s v="NA"/>
    <n v="120.9"/>
    <n v="123.8"/>
    <n v="123.7"/>
    <n v="121.1"/>
    <n v="113.6"/>
    <n v="118.5"/>
    <n v="123.6"/>
    <n v="112.5"/>
    <n v="118.2"/>
    <n v="126.1"/>
    <n v="1646.6"/>
    <n v="130.1"/>
    <n v="255.8"/>
    <n v="599.1"/>
    <n v="121.1"/>
    <n v="113.6"/>
    <n v="118.5"/>
    <n v="123.6"/>
  </r>
  <r>
    <x v="1"/>
    <x v="2"/>
    <x v="7"/>
    <x v="33"/>
    <x v="46"/>
    <n v="131.69999999999999"/>
    <n v="118.1"/>
    <n v="128"/>
    <n v="106.8"/>
    <n v="130.1"/>
    <n v="165.5"/>
    <n v="156"/>
    <n v="85.3"/>
    <n v="132.69999999999999"/>
    <n v="118.8"/>
    <n v="131.69999999999999"/>
    <n v="131.1"/>
    <n v="134.19999999999999"/>
    <n v="123.7"/>
    <n v="118.2"/>
    <n v="122.9"/>
    <n v="120.9"/>
    <n v="120.9"/>
    <n v="115.3"/>
    <n v="120"/>
    <n v="116.6"/>
    <n v="109.9"/>
    <n v="117.2"/>
    <n v="126.2"/>
    <n v="112"/>
    <n v="116.2"/>
    <n v="123.2"/>
    <n v="1658.8999999999999"/>
    <n v="134.19999999999999"/>
    <n v="241.9"/>
    <n v="584.4"/>
    <n v="116.6"/>
    <n v="109.9"/>
    <n v="117.2"/>
    <n v="126.2"/>
  </r>
  <r>
    <x v="2"/>
    <x v="2"/>
    <x v="7"/>
    <x v="33"/>
    <x v="54"/>
    <n v="131.4"/>
    <n v="120.1"/>
    <n v="128.5"/>
    <n v="111.4"/>
    <n v="132.30000000000001"/>
    <n v="157.6"/>
    <n v="144"/>
    <n v="90.5"/>
    <n v="126.8"/>
    <n v="120.4"/>
    <n v="132.1"/>
    <n v="130.30000000000001"/>
    <n v="131.19999999999999"/>
    <n v="127.2"/>
    <n v="122.9"/>
    <n v="126.6"/>
    <n v="120.9"/>
    <n v="120.9"/>
    <n v="120.6"/>
    <n v="122"/>
    <n v="119.4"/>
    <n v="111.7"/>
    <n v="117.8"/>
    <n v="125.1"/>
    <n v="112.3"/>
    <n v="117.2"/>
    <n v="124.8"/>
    <n v="1649.6"/>
    <n v="131.19999999999999"/>
    <n v="250.10000000000002"/>
    <n v="593"/>
    <n v="119.4"/>
    <n v="111.7"/>
    <n v="117.8"/>
    <n v="125.1"/>
  </r>
  <r>
    <x v="0"/>
    <x v="2"/>
    <x v="8"/>
    <x v="34"/>
    <x v="70"/>
    <n v="131.1"/>
    <n v="120.7"/>
    <n v="129.19999999999999"/>
    <n v="114.7"/>
    <n v="132.30000000000001"/>
    <n v="158.9"/>
    <n v="142.1"/>
    <n v="92.5"/>
    <n v="125.4"/>
    <n v="121.9"/>
    <n v="132.69999999999999"/>
    <n v="131"/>
    <n v="131"/>
    <n v="130.4"/>
    <n v="126.8"/>
    <n v="129.9"/>
    <s v="NA"/>
    <n v="121.6"/>
    <n v="123.7"/>
    <n v="124.5"/>
    <n v="121.4"/>
    <n v="113.8"/>
    <n v="119.6"/>
    <n v="124.5"/>
    <n v="113.7"/>
    <n v="118.8"/>
    <n v="127"/>
    <n v="1657.6000000000001"/>
    <n v="131"/>
    <n v="257.2"/>
    <n v="602.29999999999995"/>
    <n v="121.4"/>
    <n v="113.8"/>
    <n v="119.6"/>
    <n v="124.5"/>
  </r>
  <r>
    <x v="1"/>
    <x v="2"/>
    <x v="8"/>
    <x v="34"/>
    <x v="62"/>
    <n v="129"/>
    <n v="115.6"/>
    <n v="128.30000000000001"/>
    <n v="107"/>
    <n v="124"/>
    <n v="168.5"/>
    <n v="165.4"/>
    <n v="86.3"/>
    <n v="134.4"/>
    <n v="119.1"/>
    <n v="132.30000000000001"/>
    <n v="131.5"/>
    <n v="134.69999999999999"/>
    <n v="124"/>
    <n v="118.6"/>
    <n v="123.2"/>
    <n v="121.6"/>
    <n v="121.6"/>
    <n v="115.1"/>
    <n v="120.4"/>
    <n v="117.1"/>
    <n v="109.1"/>
    <n v="117.3"/>
    <n v="126.5"/>
    <n v="112.9"/>
    <n v="116.2"/>
    <n v="123.5"/>
    <n v="1664.8"/>
    <n v="134.69999999999999"/>
    <n v="242.6"/>
    <n v="586.20000000000005"/>
    <n v="117.1"/>
    <n v="109.1"/>
    <n v="117.3"/>
    <n v="126.5"/>
  </r>
  <r>
    <x v="2"/>
    <x v="2"/>
    <x v="8"/>
    <x v="34"/>
    <x v="57"/>
    <n v="130.4"/>
    <n v="118.7"/>
    <n v="128.9"/>
    <n v="111.9"/>
    <n v="128.4"/>
    <n v="162.19999999999999"/>
    <n v="150"/>
    <n v="90.4"/>
    <n v="128.4"/>
    <n v="120.7"/>
    <n v="132.5"/>
    <n v="131.19999999999999"/>
    <n v="132"/>
    <n v="127.9"/>
    <n v="123.4"/>
    <n v="127.2"/>
    <n v="121.6"/>
    <n v="121.6"/>
    <n v="120.4"/>
    <n v="122.6"/>
    <n v="119.8"/>
    <n v="111.3"/>
    <n v="118.3"/>
    <n v="125.7"/>
    <n v="113.4"/>
    <n v="117.5"/>
    <n v="125.4"/>
    <n v="1658.3000000000002"/>
    <n v="132"/>
    <n v="251.3"/>
    <n v="595.5"/>
    <n v="119.8"/>
    <n v="111.3"/>
    <n v="118.3"/>
    <n v="125.7"/>
  </r>
  <r>
    <x v="0"/>
    <x v="2"/>
    <x v="9"/>
    <x v="35"/>
    <x v="71"/>
    <n v="130.4"/>
    <n v="120.8"/>
    <n v="129.4"/>
    <n v="115.8"/>
    <n v="133.19999999999999"/>
    <n v="157.69999999999999"/>
    <n v="154.19999999999999"/>
    <n v="93.7"/>
    <n v="126.6"/>
    <n v="122.3"/>
    <n v="133.1"/>
    <n v="131.80000000000001"/>
    <n v="131.5"/>
    <n v="131.1"/>
    <n v="127.3"/>
    <n v="130.6"/>
    <s v="NA"/>
    <n v="122.4"/>
    <n v="124.4"/>
    <n v="125.1"/>
    <n v="122"/>
    <n v="113.8"/>
    <n v="120.1"/>
    <n v="125.1"/>
    <n v="114.2"/>
    <n v="119.2"/>
    <n v="127.7"/>
    <n v="1674.6"/>
    <n v="131.5"/>
    <n v="258.39999999999998"/>
    <n v="605.29999999999995"/>
    <n v="122"/>
    <n v="113.8"/>
    <n v="120.1"/>
    <n v="125.1"/>
  </r>
  <r>
    <x v="1"/>
    <x v="2"/>
    <x v="9"/>
    <x v="35"/>
    <x v="66"/>
    <n v="128.6"/>
    <n v="115.9"/>
    <n v="128.5"/>
    <n v="109"/>
    <n v="124.1"/>
    <n v="165.8"/>
    <n v="187.2"/>
    <n v="89.4"/>
    <n v="135.80000000000001"/>
    <n v="119.4"/>
    <n v="132.9"/>
    <n v="132.6"/>
    <n v="135.30000000000001"/>
    <n v="124.4"/>
    <n v="118.8"/>
    <n v="123.6"/>
    <n v="122.4"/>
    <n v="122.4"/>
    <n v="114.9"/>
    <n v="120.7"/>
    <n v="117.7"/>
    <n v="109.3"/>
    <n v="117.7"/>
    <n v="126.5"/>
    <n v="113.5"/>
    <n v="116.5"/>
    <n v="124.2"/>
    <n v="1692.8000000000002"/>
    <n v="135.30000000000001"/>
    <n v="243.2"/>
    <n v="588"/>
    <n v="117.7"/>
    <n v="109.3"/>
    <n v="117.7"/>
    <n v="126.5"/>
  </r>
  <r>
    <x v="2"/>
    <x v="2"/>
    <x v="9"/>
    <x v="35"/>
    <x v="72"/>
    <n v="129.80000000000001"/>
    <n v="118.9"/>
    <n v="129.1"/>
    <n v="113.3"/>
    <n v="129"/>
    <n v="160.4"/>
    <n v="165.3"/>
    <n v="92.3"/>
    <n v="129.69999999999999"/>
    <n v="121.1"/>
    <n v="133"/>
    <n v="132.1"/>
    <n v="132.5"/>
    <n v="128.5"/>
    <n v="123.8"/>
    <n v="127.8"/>
    <n v="122.4"/>
    <n v="122.4"/>
    <n v="120.8"/>
    <n v="123"/>
    <n v="120.4"/>
    <n v="111.4"/>
    <n v="118.7"/>
    <n v="125.9"/>
    <n v="113.9"/>
    <n v="117.9"/>
    <n v="126.1"/>
    <n v="1678.9999999999998"/>
    <n v="132.5"/>
    <n v="252.3"/>
    <n v="598"/>
    <n v="120.4"/>
    <n v="111.4"/>
    <n v="118.7"/>
    <n v="125.9"/>
  </r>
  <r>
    <x v="0"/>
    <x v="2"/>
    <x v="11"/>
    <x v="36"/>
    <x v="73"/>
    <n v="130.6"/>
    <n v="121.7"/>
    <n v="129.5"/>
    <n v="117.8"/>
    <n v="132.1"/>
    <n v="155.19999999999999"/>
    <n v="160.80000000000001"/>
    <n v="94.5"/>
    <n v="128.30000000000001"/>
    <n v="123.1"/>
    <n v="134.19999999999999"/>
    <n v="132.4"/>
    <n v="132.19999999999999"/>
    <n v="132.1"/>
    <n v="128.19999999999999"/>
    <n v="131.5"/>
    <s v="NA"/>
    <n v="122.9"/>
    <n v="125.6"/>
    <n v="125.6"/>
    <n v="122.6"/>
    <n v="114"/>
    <n v="120.9"/>
    <n v="125.8"/>
    <n v="114.2"/>
    <n v="119.6"/>
    <n v="128.30000000000001"/>
    <n v="1686.3"/>
    <n v="132.19999999999999"/>
    <n v="260.29999999999995"/>
    <n v="607.9"/>
    <n v="122.6"/>
    <n v="114"/>
    <n v="120.9"/>
    <n v="125.8"/>
  </r>
  <r>
    <x v="1"/>
    <x v="2"/>
    <x v="11"/>
    <x v="36"/>
    <x v="61"/>
    <n v="129.80000000000001"/>
    <n v="121.5"/>
    <n v="128.6"/>
    <n v="110"/>
    <n v="123.7"/>
    <n v="164.6"/>
    <n v="191.6"/>
    <n v="90.8"/>
    <n v="137.1"/>
    <n v="119.8"/>
    <n v="133.69999999999999"/>
    <n v="133.30000000000001"/>
    <n v="137.6"/>
    <n v="125"/>
    <n v="119.3"/>
    <n v="124.2"/>
    <n v="122.9"/>
    <n v="122.9"/>
    <n v="115.1"/>
    <n v="121"/>
    <n v="118.1"/>
    <n v="109.3"/>
    <n v="117.9"/>
    <n v="126.6"/>
    <n v="113.3"/>
    <n v="116.6"/>
    <n v="124.6"/>
    <n v="1708.4999999999998"/>
    <n v="137.6"/>
    <n v="244.3"/>
    <n v="588.9"/>
    <n v="118.1"/>
    <n v="109.3"/>
    <n v="117.9"/>
    <n v="126.6"/>
  </r>
  <r>
    <x v="2"/>
    <x v="2"/>
    <x v="11"/>
    <x v="36"/>
    <x v="74"/>
    <n v="130.30000000000001"/>
    <n v="121.6"/>
    <n v="129.19999999999999"/>
    <n v="114.9"/>
    <n v="128.19999999999999"/>
    <n v="158.4"/>
    <n v="171.2"/>
    <n v="93.3"/>
    <n v="131.19999999999999"/>
    <n v="121.7"/>
    <n v="134"/>
    <n v="132.69999999999999"/>
    <n v="133.6"/>
    <n v="129.30000000000001"/>
    <n v="124.5"/>
    <n v="128.6"/>
    <n v="122.9"/>
    <n v="122.9"/>
    <n v="121.6"/>
    <n v="123.4"/>
    <n v="120.9"/>
    <n v="111.5"/>
    <n v="119.2"/>
    <n v="126.3"/>
    <n v="113.8"/>
    <n v="118.1"/>
    <n v="126.6"/>
    <n v="1692.1"/>
    <n v="133.6"/>
    <n v="253.8"/>
    <n v="599.79999999999995"/>
    <n v="120.9"/>
    <n v="111.5"/>
    <n v="119.2"/>
    <n v="126.3"/>
  </r>
  <r>
    <x v="0"/>
    <x v="2"/>
    <x v="12"/>
    <x v="37"/>
    <x v="75"/>
    <n v="131.30000000000001"/>
    <n v="123.3"/>
    <n v="129.80000000000001"/>
    <n v="118.3"/>
    <n v="131.6"/>
    <n v="145.5"/>
    <n v="162.1"/>
    <n v="95.4"/>
    <n v="128.9"/>
    <n v="123.3"/>
    <n v="135.1"/>
    <n v="131.4"/>
    <n v="133.1"/>
    <n v="132.5"/>
    <n v="128.5"/>
    <n v="131.9"/>
    <s v="NA"/>
    <n v="122.4"/>
    <n v="125.7"/>
    <n v="126"/>
    <n v="123.1"/>
    <n v="114"/>
    <n v="121.6"/>
    <n v="125.6"/>
    <n v="114.1"/>
    <n v="119.8"/>
    <n v="127.9"/>
    <n v="1682.3000000000002"/>
    <n v="133.1"/>
    <n v="261"/>
    <n v="608"/>
    <n v="123.1"/>
    <n v="114"/>
    <n v="121.6"/>
    <n v="125.6"/>
  </r>
  <r>
    <x v="1"/>
    <x v="2"/>
    <x v="12"/>
    <x v="37"/>
    <x v="63"/>
    <n v="131.69999999999999"/>
    <n v="127.1"/>
    <n v="128.6"/>
    <n v="110"/>
    <n v="120.8"/>
    <n v="149"/>
    <n v="190.1"/>
    <n v="92.7"/>
    <n v="138.6"/>
    <n v="120.2"/>
    <n v="134.19999999999999"/>
    <n v="131.5"/>
    <n v="138.19999999999999"/>
    <n v="125.4"/>
    <n v="119.5"/>
    <n v="124.5"/>
    <n v="122.4"/>
    <n v="122.4"/>
    <n v="116"/>
    <n v="121"/>
    <n v="118.6"/>
    <n v="109.3"/>
    <n v="118.1"/>
    <n v="126.6"/>
    <n v="113.2"/>
    <n v="116.7"/>
    <n v="124"/>
    <n v="1698.8"/>
    <n v="138.19999999999999"/>
    <n v="244.9"/>
    <n v="589.29999999999995"/>
    <n v="118.6"/>
    <n v="109.3"/>
    <n v="118.1"/>
    <n v="126.6"/>
  </r>
  <r>
    <x v="2"/>
    <x v="2"/>
    <x v="12"/>
    <x v="37"/>
    <x v="76"/>
    <n v="131.4"/>
    <n v="124.8"/>
    <n v="129.4"/>
    <n v="115.3"/>
    <n v="126.6"/>
    <n v="146.69999999999999"/>
    <n v="171.5"/>
    <n v="94.5"/>
    <n v="132.1"/>
    <n v="122"/>
    <n v="134.69999999999999"/>
    <n v="131.4"/>
    <n v="134.5"/>
    <n v="129.69999999999999"/>
    <n v="124.8"/>
    <n v="129"/>
    <n v="122.4"/>
    <n v="122.4"/>
    <n v="122"/>
    <n v="123.6"/>
    <n v="121.4"/>
    <n v="111.5"/>
    <n v="119.6"/>
    <n v="126.2"/>
    <n v="113.7"/>
    <n v="118.3"/>
    <n v="126.1"/>
    <n v="1686.1000000000001"/>
    <n v="134.5"/>
    <n v="254.5"/>
    <n v="600"/>
    <n v="121.4"/>
    <n v="111.5"/>
    <n v="119.6"/>
    <n v="126.2"/>
  </r>
  <r>
    <x v="0"/>
    <x v="3"/>
    <x v="0"/>
    <x v="38"/>
    <x v="77"/>
    <n v="133.19999999999999"/>
    <n v="126.5"/>
    <n v="130.30000000000001"/>
    <n v="118.9"/>
    <n v="131.6"/>
    <n v="140.1"/>
    <n v="163.80000000000001"/>
    <n v="97.7"/>
    <n v="129.6"/>
    <n v="124.3"/>
    <n v="135.9"/>
    <n v="131.4"/>
    <n v="133.6"/>
    <n v="133.19999999999999"/>
    <n v="128.9"/>
    <n v="132.6"/>
    <s v="NA"/>
    <n v="123.4"/>
    <n v="126.2"/>
    <n v="126.6"/>
    <n v="123.7"/>
    <n v="113.6"/>
    <n v="121.4"/>
    <n v="126.2"/>
    <n v="114.9"/>
    <n v="120.1"/>
    <n v="128.1"/>
    <n v="1690.1000000000001"/>
    <n v="133.6"/>
    <n v="262.10000000000002"/>
    <n v="611.20000000000005"/>
    <n v="123.7"/>
    <n v="113.6"/>
    <n v="121.4"/>
    <n v="126.2"/>
  </r>
  <r>
    <x v="1"/>
    <x v="3"/>
    <x v="0"/>
    <x v="38"/>
    <x v="69"/>
    <n v="135.9"/>
    <n v="132"/>
    <n v="129.19999999999999"/>
    <n v="109.7"/>
    <n v="119"/>
    <n v="144.1"/>
    <n v="184.2"/>
    <n v="96.7"/>
    <n v="139.5"/>
    <n v="120.5"/>
    <n v="134.69999999999999"/>
    <n v="131.19999999999999"/>
    <n v="139.5"/>
    <n v="125.8"/>
    <n v="119.8"/>
    <n v="124.9"/>
    <n v="123.4"/>
    <n v="123.4"/>
    <n v="116.9"/>
    <n v="121.6"/>
    <n v="119.1"/>
    <n v="108.9"/>
    <n v="118.5"/>
    <n v="126.4"/>
    <n v="114"/>
    <n v="116.8"/>
    <n v="124.2"/>
    <n v="1701.4"/>
    <n v="139.5"/>
    <n v="245.6"/>
    <n v="592.69999999999993"/>
    <n v="119.1"/>
    <n v="108.9"/>
    <n v="118.5"/>
    <n v="126.4"/>
  </r>
  <r>
    <x v="2"/>
    <x v="3"/>
    <x v="0"/>
    <x v="38"/>
    <x v="73"/>
    <n v="134.1"/>
    <n v="128.6"/>
    <n v="129.9"/>
    <n v="115.5"/>
    <n v="125.7"/>
    <n v="141.5"/>
    <n v="170.7"/>
    <n v="97.4"/>
    <n v="132.9"/>
    <n v="122.7"/>
    <n v="135.30000000000001"/>
    <n v="131.30000000000001"/>
    <n v="135.19999999999999"/>
    <n v="130.30000000000001"/>
    <n v="125.1"/>
    <n v="129.5"/>
    <n v="123.4"/>
    <n v="123.4"/>
    <n v="122.7"/>
    <n v="124.2"/>
    <n v="122"/>
    <n v="111.1"/>
    <n v="119.8"/>
    <n v="126.3"/>
    <n v="114.5"/>
    <n v="118.5"/>
    <n v="126.3"/>
    <n v="1691.7"/>
    <n v="135.19999999999999"/>
    <n v="255.4"/>
    <n v="603.29999999999995"/>
    <n v="122"/>
    <n v="111.1"/>
    <n v="119.8"/>
    <n v="126.3"/>
  </r>
  <r>
    <x v="0"/>
    <x v="3"/>
    <x v="1"/>
    <x v="39"/>
    <x v="78"/>
    <n v="133.69999999999999"/>
    <n v="127.7"/>
    <n v="130.69999999999999"/>
    <n v="118.5"/>
    <n v="130.4"/>
    <n v="130.9"/>
    <n v="162.80000000000001"/>
    <n v="98.7"/>
    <n v="130.6"/>
    <n v="124.8"/>
    <n v="136.4"/>
    <n v="130.30000000000001"/>
    <n v="134.4"/>
    <n v="133.9"/>
    <n v="129.80000000000001"/>
    <n v="133.4"/>
    <s v="NA"/>
    <n v="124.4"/>
    <n v="127.5"/>
    <n v="127.1"/>
    <n v="124.3"/>
    <n v="113.9"/>
    <n v="122.3"/>
    <n v="127.1"/>
    <n v="116.8"/>
    <n v="120.9"/>
    <n v="127.9"/>
    <n v="1682.6"/>
    <n v="134.4"/>
    <n v="263.70000000000005"/>
    <n v="616.70000000000005"/>
    <n v="124.3"/>
    <n v="113.9"/>
    <n v="122.3"/>
    <n v="127.1"/>
  </r>
  <r>
    <x v="1"/>
    <x v="3"/>
    <x v="1"/>
    <x v="39"/>
    <x v="52"/>
    <n v="135.1"/>
    <n v="130.30000000000001"/>
    <n v="129.6"/>
    <n v="108.4"/>
    <n v="118.6"/>
    <n v="129.19999999999999"/>
    <n v="176.4"/>
    <n v="99.1"/>
    <n v="139.69999999999999"/>
    <n v="120.6"/>
    <n v="135.19999999999999"/>
    <n v="129.1"/>
    <n v="140"/>
    <n v="126.2"/>
    <n v="120.1"/>
    <n v="125.3"/>
    <n v="124.4"/>
    <n v="124.4"/>
    <n v="116"/>
    <n v="121.8"/>
    <n v="119.5"/>
    <n v="109.1"/>
    <n v="118.8"/>
    <n v="126.3"/>
    <n v="116.2"/>
    <n v="117.2"/>
    <n v="123.8"/>
    <n v="1676.1"/>
    <n v="140"/>
    <n v="246.3"/>
    <n v="595.6"/>
    <n v="119.5"/>
    <n v="109.1"/>
    <n v="118.8"/>
    <n v="126.3"/>
  </r>
  <r>
    <x v="2"/>
    <x v="3"/>
    <x v="1"/>
    <x v="39"/>
    <x v="79"/>
    <n v="134.19999999999999"/>
    <n v="128.69999999999999"/>
    <n v="130.30000000000001"/>
    <n v="114.8"/>
    <n v="124.9"/>
    <n v="130.30000000000001"/>
    <n v="167.4"/>
    <n v="98.8"/>
    <n v="133.6"/>
    <n v="123"/>
    <n v="135.80000000000001"/>
    <n v="129.9"/>
    <n v="135.9"/>
    <n v="130.9"/>
    <n v="125.8"/>
    <n v="130.19999999999999"/>
    <n v="124.4"/>
    <n v="124.4"/>
    <n v="123.1"/>
    <n v="124.6"/>
    <n v="122.5"/>
    <n v="111.4"/>
    <n v="120.3"/>
    <n v="126.6"/>
    <n v="116.6"/>
    <n v="119.1"/>
    <n v="126"/>
    <n v="1678.1"/>
    <n v="135.9"/>
    <n v="256.7"/>
    <n v="607.80000000000007"/>
    <n v="122.5"/>
    <n v="111.4"/>
    <n v="120.3"/>
    <n v="126.6"/>
  </r>
  <r>
    <x v="0"/>
    <x v="3"/>
    <x v="2"/>
    <x v="40"/>
    <x v="80"/>
    <n v="134.4"/>
    <n v="125.1"/>
    <n v="130.5"/>
    <n v="118.3"/>
    <n v="131.69999999999999"/>
    <n v="130.69999999999999"/>
    <n v="161.19999999999999"/>
    <n v="100.4"/>
    <n v="130.80000000000001"/>
    <n v="124.9"/>
    <n v="137"/>
    <n v="130.4"/>
    <n v="135"/>
    <n v="134.4"/>
    <n v="130.19999999999999"/>
    <n v="133.80000000000001"/>
    <s v="NA"/>
    <n v="124.9"/>
    <n v="127"/>
    <n v="127.7"/>
    <n v="124.8"/>
    <n v="113.6"/>
    <n v="122.5"/>
    <n v="127.5"/>
    <n v="117.4"/>
    <n v="121.1"/>
    <n v="128"/>
    <n v="1682.7000000000003"/>
    <n v="135"/>
    <n v="264.60000000000002"/>
    <n v="618.1"/>
    <n v="124.8"/>
    <n v="113.6"/>
    <n v="122.5"/>
    <n v="127.5"/>
  </r>
  <r>
    <x v="1"/>
    <x v="3"/>
    <x v="2"/>
    <x v="40"/>
    <x v="52"/>
    <n v="136.30000000000001"/>
    <n v="123.7"/>
    <n v="129.69999999999999"/>
    <n v="107.9"/>
    <n v="119.9"/>
    <n v="128.1"/>
    <n v="170.3"/>
    <n v="101.8"/>
    <n v="140.1"/>
    <n v="120.7"/>
    <n v="135.4"/>
    <n v="128.9"/>
    <n v="140.6"/>
    <n v="126.4"/>
    <n v="120.3"/>
    <n v="125.5"/>
    <n v="124.9"/>
    <n v="124.9"/>
    <n v="114.8"/>
    <n v="122.3"/>
    <n v="119.7"/>
    <n v="108.5"/>
    <n v="119.1"/>
    <n v="126.4"/>
    <n v="117.1"/>
    <n v="117.3"/>
    <n v="123.8"/>
    <n v="1667.6000000000001"/>
    <n v="140.6"/>
    <n v="246.7"/>
    <n v="596.4"/>
    <n v="119.7"/>
    <n v="108.5"/>
    <n v="119.1"/>
    <n v="126.4"/>
  </r>
  <r>
    <x v="2"/>
    <x v="3"/>
    <x v="2"/>
    <x v="40"/>
    <x v="81"/>
    <n v="135.1"/>
    <n v="124.6"/>
    <n v="130.19999999999999"/>
    <n v="114.5"/>
    <n v="126.2"/>
    <n v="129.80000000000001"/>
    <n v="164.3"/>
    <n v="100.9"/>
    <n v="133.9"/>
    <n v="123.1"/>
    <n v="136.30000000000001"/>
    <n v="129.80000000000001"/>
    <n v="136.5"/>
    <n v="131.30000000000001"/>
    <n v="126.1"/>
    <n v="130.5"/>
    <n v="124.9"/>
    <n v="124.9"/>
    <n v="122.4"/>
    <n v="125.1"/>
    <n v="122.9"/>
    <n v="110.9"/>
    <n v="120.6"/>
    <n v="126.9"/>
    <n v="117.3"/>
    <n v="119.3"/>
    <n v="126"/>
    <n v="1675.2"/>
    <n v="136.5"/>
    <n v="257.39999999999998"/>
    <n v="609"/>
    <n v="122.9"/>
    <n v="110.9"/>
    <n v="120.6"/>
    <n v="126.9"/>
  </r>
  <r>
    <x v="0"/>
    <x v="3"/>
    <x v="3"/>
    <x v="41"/>
    <x v="82"/>
    <n v="135.4"/>
    <n v="123.4"/>
    <n v="131.30000000000001"/>
    <n v="118.2"/>
    <n v="138.1"/>
    <n v="134.1"/>
    <n v="162.69999999999999"/>
    <n v="105"/>
    <n v="131.4"/>
    <n v="125.4"/>
    <n v="137.4"/>
    <n v="131.80000000000001"/>
    <n v="135.5"/>
    <n v="135"/>
    <n v="130.6"/>
    <n v="134.4"/>
    <s v="NA"/>
    <n v="125.6"/>
    <n v="127"/>
    <n v="128"/>
    <n v="125.2"/>
    <n v="114.4"/>
    <n v="123.2"/>
    <n v="127.9"/>
    <n v="118.4"/>
    <n v="121.7"/>
    <n v="129"/>
    <n v="1701.6000000000004"/>
    <n v="135.5"/>
    <n v="265.60000000000002"/>
    <n v="620.70000000000005"/>
    <n v="125.2"/>
    <n v="114.4"/>
    <n v="123.2"/>
    <n v="127.9"/>
  </r>
  <r>
    <x v="1"/>
    <x v="3"/>
    <x v="3"/>
    <x v="41"/>
    <x v="83"/>
    <n v="139.30000000000001"/>
    <n v="119.9"/>
    <n v="130.19999999999999"/>
    <n v="108.9"/>
    <n v="131.1"/>
    <n v="136.80000000000001"/>
    <n v="176.9"/>
    <n v="109.1"/>
    <n v="140.4"/>
    <n v="121.1"/>
    <n v="135.9"/>
    <n v="131.80000000000001"/>
    <n v="141.5"/>
    <n v="126.8"/>
    <n v="120.5"/>
    <n v="125.8"/>
    <n v="125.6"/>
    <n v="125.6"/>
    <n v="114.6"/>
    <n v="122.8"/>
    <n v="120"/>
    <n v="110"/>
    <n v="119.5"/>
    <n v="127.6"/>
    <n v="117.6"/>
    <n v="118.2"/>
    <n v="125.3"/>
    <n v="1706.3"/>
    <n v="141.5"/>
    <n v="247.3"/>
    <n v="598.80000000000007"/>
    <n v="120"/>
    <n v="110"/>
    <n v="119.5"/>
    <n v="127.6"/>
  </r>
  <r>
    <x v="2"/>
    <x v="3"/>
    <x v="3"/>
    <x v="41"/>
    <x v="84"/>
    <n v="136.80000000000001"/>
    <n v="122"/>
    <n v="130.9"/>
    <n v="114.8"/>
    <n v="134.80000000000001"/>
    <n v="135"/>
    <n v="167.5"/>
    <n v="106.4"/>
    <n v="134.4"/>
    <n v="123.6"/>
    <n v="136.69999999999999"/>
    <n v="131.80000000000001"/>
    <n v="137.1"/>
    <n v="131.80000000000001"/>
    <n v="126.4"/>
    <n v="131"/>
    <n v="125.6"/>
    <n v="125.6"/>
    <n v="122.3"/>
    <n v="125.5"/>
    <n v="123.2"/>
    <n v="112.1"/>
    <n v="121.1"/>
    <n v="127.7"/>
    <n v="118.1"/>
    <n v="120"/>
    <n v="127.3"/>
    <n v="1701.3"/>
    <n v="137.1"/>
    <n v="258.20000000000005"/>
    <n v="611.5"/>
    <n v="123.2"/>
    <n v="112.1"/>
    <n v="121.1"/>
    <n v="127.7"/>
  </r>
  <r>
    <x v="0"/>
    <x v="3"/>
    <x v="4"/>
    <x v="42"/>
    <x v="85"/>
    <n v="137.5"/>
    <n v="124.4"/>
    <n v="132.4"/>
    <n v="118.2"/>
    <n v="138.1"/>
    <n v="141.80000000000001"/>
    <n v="166"/>
    <n v="107.5"/>
    <n v="132.19999999999999"/>
    <n v="126.1"/>
    <n v="138.30000000000001"/>
    <n v="133.6"/>
    <n v="136"/>
    <n v="135.4"/>
    <n v="131.1"/>
    <n v="134.80000000000001"/>
    <s v="NA"/>
    <n v="126"/>
    <n v="127.4"/>
    <n v="128.5"/>
    <n v="125.8"/>
    <n v="115.1"/>
    <n v="123.6"/>
    <n v="129.1"/>
    <n v="119.7"/>
    <n v="122.5"/>
    <n v="130.30000000000001"/>
    <n v="1723.6999999999998"/>
    <n v="136"/>
    <n v="266.5"/>
    <n v="624.09999999999991"/>
    <n v="125.8"/>
    <n v="115.1"/>
    <n v="123.6"/>
    <n v="129.1"/>
  </r>
  <r>
    <x v="1"/>
    <x v="3"/>
    <x v="4"/>
    <x v="42"/>
    <x v="72"/>
    <n v="142.1"/>
    <n v="127"/>
    <n v="130.4"/>
    <n v="109.6"/>
    <n v="133.5"/>
    <n v="151.4"/>
    <n v="182.8"/>
    <n v="111.1"/>
    <n v="141.5"/>
    <n v="121.5"/>
    <n v="136.30000000000001"/>
    <n v="134.6"/>
    <n v="142.19999999999999"/>
    <n v="127.2"/>
    <n v="120.7"/>
    <n v="126.2"/>
    <n v="126"/>
    <n v="126"/>
    <n v="115"/>
    <n v="123.2"/>
    <n v="120.3"/>
    <n v="110.7"/>
    <n v="119.8"/>
    <n v="128"/>
    <n v="118.5"/>
    <n v="118.7"/>
    <n v="126.6"/>
    <n v="1746.7999999999997"/>
    <n v="142.19999999999999"/>
    <n v="247.9"/>
    <n v="601.4"/>
    <n v="120.3"/>
    <n v="110.7"/>
    <n v="119.8"/>
    <n v="128"/>
  </r>
  <r>
    <x v="2"/>
    <x v="3"/>
    <x v="4"/>
    <x v="42"/>
    <x v="77"/>
    <n v="139.1"/>
    <n v="125.4"/>
    <n v="131.69999999999999"/>
    <n v="115"/>
    <n v="136"/>
    <n v="145.1"/>
    <n v="171.7"/>
    <n v="108.7"/>
    <n v="135.30000000000001"/>
    <n v="124.2"/>
    <n v="137.4"/>
    <n v="134"/>
    <n v="137.69999999999999"/>
    <n v="132.19999999999999"/>
    <n v="126.8"/>
    <n v="131.4"/>
    <n v="126"/>
    <n v="126"/>
    <n v="122.7"/>
    <n v="126"/>
    <n v="123.7"/>
    <n v="112.8"/>
    <n v="121.5"/>
    <n v="128.5"/>
    <n v="119.2"/>
    <n v="120.7"/>
    <n v="128.6"/>
    <n v="1730.4"/>
    <n v="137.69999999999999"/>
    <n v="259"/>
    <n v="614.6"/>
    <n v="123.7"/>
    <n v="112.8"/>
    <n v="121.5"/>
    <n v="128.5"/>
  </r>
  <r>
    <x v="0"/>
    <x v="3"/>
    <x v="5"/>
    <x v="43"/>
    <x v="86"/>
    <n v="138.6"/>
    <n v="126.6"/>
    <n v="133.6"/>
    <n v="118.6"/>
    <n v="137.4"/>
    <n v="152.5"/>
    <n v="169.2"/>
    <n v="108.8"/>
    <n v="133.1"/>
    <n v="126.4"/>
    <n v="139.19999999999999"/>
    <n v="136"/>
    <n v="137.19999999999999"/>
    <n v="136.30000000000001"/>
    <n v="131.6"/>
    <n v="135.6"/>
    <s v="NA"/>
    <n v="125.5"/>
    <n v="128"/>
    <n v="129.30000000000001"/>
    <n v="126.2"/>
    <n v="116.3"/>
    <n v="124.1"/>
    <n v="130.19999999999999"/>
    <n v="119.9"/>
    <n v="123.3"/>
    <n v="131.9"/>
    <n v="1748.6"/>
    <n v="137.19999999999999"/>
    <n v="267.89999999999998"/>
    <n v="626"/>
    <n v="126.2"/>
    <n v="116.3"/>
    <n v="124.1"/>
    <n v="130.19999999999999"/>
  </r>
  <r>
    <x v="1"/>
    <x v="3"/>
    <x v="5"/>
    <x v="43"/>
    <x v="87"/>
    <n v="143.9"/>
    <n v="130.9"/>
    <n v="131"/>
    <n v="110.2"/>
    <n v="135.5"/>
    <n v="173.7"/>
    <n v="184.4"/>
    <n v="112"/>
    <n v="142.80000000000001"/>
    <n v="121.6"/>
    <n v="136.9"/>
    <n v="138.19999999999999"/>
    <n v="142.69999999999999"/>
    <n v="127.6"/>
    <n v="121.1"/>
    <n v="126.6"/>
    <n v="125.5"/>
    <n v="125.5"/>
    <n v="115.5"/>
    <n v="123.2"/>
    <n v="120.6"/>
    <n v="112.3"/>
    <n v="119.9"/>
    <n v="129.30000000000001"/>
    <n v="118.8"/>
    <n v="119.6"/>
    <n v="128.1"/>
    <n v="1787.0000000000002"/>
    <n v="142.69999999999999"/>
    <n v="248.7"/>
    <n v="602.6"/>
    <n v="120.6"/>
    <n v="112.3"/>
    <n v="119.9"/>
    <n v="129.30000000000001"/>
  </r>
  <r>
    <x v="2"/>
    <x v="3"/>
    <x v="5"/>
    <x v="43"/>
    <x v="88"/>
    <n v="140.5"/>
    <n v="128.30000000000001"/>
    <n v="132.6"/>
    <n v="115.5"/>
    <n v="136.5"/>
    <n v="159.69999999999999"/>
    <n v="174.3"/>
    <n v="109.9"/>
    <n v="136.30000000000001"/>
    <n v="124.4"/>
    <n v="138.1"/>
    <n v="136.80000000000001"/>
    <n v="138.69999999999999"/>
    <n v="132.9"/>
    <n v="127.2"/>
    <n v="132"/>
    <n v="125.5"/>
    <n v="125.5"/>
    <n v="123.3"/>
    <n v="126.4"/>
    <n v="124.1"/>
    <n v="114.2"/>
    <n v="121.7"/>
    <n v="129.69999999999999"/>
    <n v="119.4"/>
    <n v="121.5"/>
    <n v="130.1"/>
    <n v="1760.6"/>
    <n v="138.69999999999999"/>
    <n v="260.10000000000002"/>
    <n v="616.1"/>
    <n v="124.1"/>
    <n v="114.2"/>
    <n v="121.7"/>
    <n v="129.69999999999999"/>
  </r>
  <r>
    <x v="0"/>
    <x v="3"/>
    <x v="6"/>
    <x v="44"/>
    <x v="89"/>
    <n v="139.5"/>
    <n v="129.6"/>
    <n v="134.5"/>
    <n v="119.5"/>
    <n v="138.5"/>
    <n v="158.19999999999999"/>
    <n v="171.8"/>
    <n v="110.3"/>
    <n v="134.30000000000001"/>
    <n v="127.3"/>
    <n v="139.9"/>
    <n v="137.6"/>
    <n v="138"/>
    <n v="137.19999999999999"/>
    <n v="132.19999999999999"/>
    <n v="136.5"/>
    <s v="NA"/>
    <n v="126.4"/>
    <n v="128.19999999999999"/>
    <n v="130"/>
    <n v="126.7"/>
    <n v="116.4"/>
    <n v="125.2"/>
    <n v="130.80000000000001"/>
    <n v="120.9"/>
    <n v="123.8"/>
    <n v="133"/>
    <n v="1770.2999999999997"/>
    <n v="138"/>
    <n v="269.39999999999998"/>
    <n v="629.29999999999995"/>
    <n v="126.7"/>
    <n v="116.4"/>
    <n v="125.2"/>
    <n v="130.80000000000001"/>
  </r>
  <r>
    <x v="1"/>
    <x v="3"/>
    <x v="6"/>
    <x v="44"/>
    <x v="77"/>
    <n v="144.19999999999999"/>
    <n v="136.6"/>
    <n v="131.80000000000001"/>
    <n v="111"/>
    <n v="137"/>
    <n v="179.5"/>
    <n v="188.4"/>
    <n v="113.3"/>
    <n v="143.9"/>
    <n v="121.7"/>
    <n v="137.5"/>
    <n v="139.80000000000001"/>
    <n v="142.9"/>
    <n v="127.9"/>
    <n v="121.1"/>
    <n v="126.9"/>
    <n v="126.4"/>
    <n v="126.4"/>
    <n v="115.5"/>
    <n v="123.5"/>
    <n v="120.9"/>
    <n v="111.7"/>
    <n v="120.3"/>
    <n v="130.80000000000001"/>
    <n v="120"/>
    <n v="119.9"/>
    <n v="129"/>
    <n v="1811.5000000000002"/>
    <n v="142.9"/>
    <n v="249"/>
    <n v="605.29999999999995"/>
    <n v="120.9"/>
    <n v="111.7"/>
    <n v="120.3"/>
    <n v="130.80000000000001"/>
  </r>
  <r>
    <x v="2"/>
    <x v="3"/>
    <x v="6"/>
    <x v="44"/>
    <x v="90"/>
    <n v="141.19999999999999"/>
    <n v="132.30000000000001"/>
    <n v="133.5"/>
    <n v="116.4"/>
    <n v="137.80000000000001"/>
    <n v="165.4"/>
    <n v="177.4"/>
    <n v="111.3"/>
    <n v="137.5"/>
    <n v="125"/>
    <n v="138.80000000000001"/>
    <n v="138.4"/>
    <n v="139.30000000000001"/>
    <n v="133.5"/>
    <n v="127.6"/>
    <n v="132.69999999999999"/>
    <n v="126.4"/>
    <n v="126.4"/>
    <n v="123.4"/>
    <n v="126.9"/>
    <n v="124.5"/>
    <n v="113.9"/>
    <n v="122.4"/>
    <n v="130.80000000000001"/>
    <n v="120.5"/>
    <n v="121.9"/>
    <n v="131.1"/>
    <n v="1783.5"/>
    <n v="139.30000000000001"/>
    <n v="261.10000000000002"/>
    <n v="619.1"/>
    <n v="124.5"/>
    <n v="113.9"/>
    <n v="122.4"/>
    <n v="130.80000000000001"/>
  </r>
  <r>
    <x v="0"/>
    <x v="3"/>
    <x v="7"/>
    <x v="45"/>
    <x v="91"/>
    <n v="138.80000000000001"/>
    <n v="130.30000000000001"/>
    <n v="135.30000000000001"/>
    <n v="119.9"/>
    <n v="140.19999999999999"/>
    <n v="156.9"/>
    <n v="172.2"/>
    <n v="112.1"/>
    <n v="134.9"/>
    <n v="128.1"/>
    <n v="140.69999999999999"/>
    <n v="138"/>
    <n v="138.9"/>
    <n v="137.80000000000001"/>
    <n v="133"/>
    <n v="137.1"/>
    <s v="NA"/>
    <n v="127.3"/>
    <n v="129.1"/>
    <n v="130.6"/>
    <n v="127"/>
    <n v="116"/>
    <n v="125.5"/>
    <n v="131.9"/>
    <n v="122"/>
    <n v="124.2"/>
    <n v="133.5"/>
    <n v="1777.4999999999998"/>
    <n v="138.9"/>
    <n v="270.8"/>
    <n v="633.20000000000005"/>
    <n v="127"/>
    <n v="116"/>
    <n v="125.5"/>
    <n v="131.9"/>
  </r>
  <r>
    <x v="1"/>
    <x v="3"/>
    <x v="7"/>
    <x v="45"/>
    <x v="85"/>
    <n v="140.30000000000001"/>
    <n v="133.69999999999999"/>
    <n v="132.19999999999999"/>
    <n v="111.8"/>
    <n v="135.80000000000001"/>
    <n v="163.5"/>
    <n v="182.3"/>
    <n v="114.6"/>
    <n v="144.6"/>
    <n v="121.9"/>
    <n v="138.1"/>
    <n v="137.6"/>
    <n v="143.6"/>
    <n v="128.30000000000001"/>
    <n v="121.4"/>
    <n v="127.3"/>
    <n v="127.3"/>
    <n v="127.3"/>
    <n v="114.7"/>
    <n v="123.9"/>
    <n v="121.2"/>
    <n v="110.4"/>
    <n v="120.6"/>
    <n v="131.5"/>
    <n v="120.9"/>
    <n v="119.9"/>
    <n v="128.4"/>
    <n v="1783.9999999999995"/>
    <n v="143.6"/>
    <n v="249.70000000000002"/>
    <n v="606.69999999999993"/>
    <n v="121.2"/>
    <n v="110.4"/>
    <n v="120.6"/>
    <n v="131.5"/>
  </r>
  <r>
    <x v="2"/>
    <x v="3"/>
    <x v="7"/>
    <x v="45"/>
    <x v="89"/>
    <n v="139.30000000000001"/>
    <n v="131.6"/>
    <n v="134.1"/>
    <n v="116.9"/>
    <n v="138.1"/>
    <n v="159.1"/>
    <n v="175.6"/>
    <n v="112.9"/>
    <n v="138.1"/>
    <n v="125.5"/>
    <n v="139.5"/>
    <n v="137.9"/>
    <n v="140.19999999999999"/>
    <n v="134.1"/>
    <n v="128.19999999999999"/>
    <n v="133.19999999999999"/>
    <n v="127.3"/>
    <n v="127.3"/>
    <n v="123.6"/>
    <n v="127.4"/>
    <n v="124.8"/>
    <n v="113.1"/>
    <n v="122.7"/>
    <n v="131.69999999999999"/>
    <n v="121.5"/>
    <n v="122.1"/>
    <n v="131.1"/>
    <n v="1777.9"/>
    <n v="140.19999999999999"/>
    <n v="262.29999999999995"/>
    <n v="621.9"/>
    <n v="124.8"/>
    <n v="113.1"/>
    <n v="122.7"/>
    <n v="131.69999999999999"/>
  </r>
  <r>
    <x v="0"/>
    <x v="3"/>
    <x v="8"/>
    <x v="46"/>
    <x v="92"/>
    <n v="138.19999999999999"/>
    <n v="130.5"/>
    <n v="135.5"/>
    <n v="120.2"/>
    <n v="139.19999999999999"/>
    <n v="149.5"/>
    <n v="170.4"/>
    <n v="113.1"/>
    <n v="135.80000000000001"/>
    <n v="128.80000000000001"/>
    <n v="141.5"/>
    <n v="137.19999999999999"/>
    <n v="139.9"/>
    <n v="138.5"/>
    <n v="133.5"/>
    <n v="137.80000000000001"/>
    <s v="NA"/>
    <n v="127.9"/>
    <n v="129.69999999999999"/>
    <n v="131.1"/>
    <n v="127.8"/>
    <n v="117"/>
    <n v="125.7"/>
    <n v="132.19999999999999"/>
    <n v="122.8"/>
    <n v="124.9"/>
    <n v="133.4"/>
    <n v="1770.7"/>
    <n v="139.9"/>
    <n v="272"/>
    <n v="636.40000000000009"/>
    <n v="127.8"/>
    <n v="117"/>
    <n v="125.7"/>
    <n v="132.19999999999999"/>
  </r>
  <r>
    <x v="1"/>
    <x v="3"/>
    <x v="8"/>
    <x v="46"/>
    <x v="93"/>
    <n v="137.69999999999999"/>
    <n v="130.6"/>
    <n v="132.6"/>
    <n v="111.9"/>
    <n v="132.5"/>
    <n v="152.9"/>
    <n v="173.6"/>
    <n v="115.1"/>
    <n v="144.80000000000001"/>
    <n v="122.1"/>
    <n v="138.80000000000001"/>
    <n v="135.69999999999999"/>
    <n v="143.9"/>
    <n v="128.69999999999999"/>
    <n v="121.6"/>
    <n v="127.7"/>
    <n v="127.9"/>
    <n v="127.9"/>
    <n v="114.8"/>
    <n v="124.3"/>
    <n v="121.4"/>
    <n v="111.8"/>
    <n v="120.8"/>
    <n v="131.6"/>
    <n v="121.2"/>
    <n v="120.5"/>
    <n v="128"/>
    <n v="1756.3999999999996"/>
    <n v="143.9"/>
    <n v="250.29999999999998"/>
    <n v="608.70000000000005"/>
    <n v="121.4"/>
    <n v="111.8"/>
    <n v="120.8"/>
    <n v="131.6"/>
  </r>
  <r>
    <x v="2"/>
    <x v="3"/>
    <x v="8"/>
    <x v="46"/>
    <x v="94"/>
    <n v="138"/>
    <n v="130.5"/>
    <n v="134.4"/>
    <n v="117.2"/>
    <n v="136.1"/>
    <n v="150.69999999999999"/>
    <n v="171.5"/>
    <n v="113.8"/>
    <n v="138.80000000000001"/>
    <n v="126"/>
    <n v="140.19999999999999"/>
    <n v="136.6"/>
    <n v="141"/>
    <n v="134.6"/>
    <n v="128.6"/>
    <n v="133.80000000000001"/>
    <n v="127.9"/>
    <n v="127.9"/>
    <n v="124.1"/>
    <n v="127.9"/>
    <n v="125.4"/>
    <n v="114.3"/>
    <n v="122.9"/>
    <n v="131.80000000000001"/>
    <n v="122.1"/>
    <n v="122.8"/>
    <n v="130.9"/>
    <n v="1763.6999999999998"/>
    <n v="141"/>
    <n v="263.2"/>
    <n v="624.79999999999995"/>
    <n v="125.4"/>
    <n v="114.3"/>
    <n v="122.9"/>
    <n v="131.80000000000001"/>
  </r>
  <r>
    <x v="0"/>
    <x v="3"/>
    <x v="9"/>
    <x v="47"/>
    <x v="95"/>
    <n v="137.6"/>
    <n v="130.1"/>
    <n v="136"/>
    <n v="120.8"/>
    <n v="138.4"/>
    <n v="149.19999999999999"/>
    <n v="170.2"/>
    <n v="113.4"/>
    <n v="136.30000000000001"/>
    <n v="128.69999999999999"/>
    <n v="142.4"/>
    <n v="137.4"/>
    <n v="140.9"/>
    <n v="139.6"/>
    <n v="134.30000000000001"/>
    <n v="138.80000000000001"/>
    <s v="NA"/>
    <n v="128.69999999999999"/>
    <n v="129.80000000000001"/>
    <n v="131.80000000000001"/>
    <n v="128.69999999999999"/>
    <n v="117.8"/>
    <n v="126.5"/>
    <n v="133"/>
    <n v="123"/>
    <n v="125.7"/>
    <n v="133.80000000000001"/>
    <n v="1771.8000000000002"/>
    <n v="140.9"/>
    <n v="273.89999999999998"/>
    <n v="639"/>
    <n v="128.69999999999999"/>
    <n v="117.8"/>
    <n v="126.5"/>
    <n v="133"/>
  </r>
  <r>
    <x v="1"/>
    <x v="3"/>
    <x v="9"/>
    <x v="47"/>
    <x v="96"/>
    <n v="138.4"/>
    <n v="130.30000000000001"/>
    <n v="132.69999999999999"/>
    <n v="112.5"/>
    <n v="130.4"/>
    <n v="155.1"/>
    <n v="175.7"/>
    <n v="115.4"/>
    <n v="145.30000000000001"/>
    <n v="122.5"/>
    <n v="139.6"/>
    <n v="136.30000000000001"/>
    <n v="144.30000000000001"/>
    <n v="129.1"/>
    <n v="121.9"/>
    <n v="128"/>
    <n v="128.69999999999999"/>
    <n v="128.69999999999999"/>
    <n v="115.2"/>
    <n v="124.5"/>
    <n v="121.8"/>
    <n v="112.8"/>
    <n v="121.2"/>
    <n v="131.9"/>
    <n v="120.8"/>
    <n v="120.9"/>
    <n v="128.6"/>
    <n v="1762.8999999999999"/>
    <n v="144.30000000000001"/>
    <n v="251"/>
    <n v="610.1"/>
    <n v="121.8"/>
    <n v="112.8"/>
    <n v="121.2"/>
    <n v="131.9"/>
  </r>
  <r>
    <x v="2"/>
    <x v="3"/>
    <x v="9"/>
    <x v="47"/>
    <x v="97"/>
    <n v="137.9"/>
    <n v="130.19999999999999"/>
    <n v="134.80000000000001"/>
    <n v="117.8"/>
    <n v="134.69999999999999"/>
    <n v="151.19999999999999"/>
    <n v="172.1"/>
    <n v="114.1"/>
    <n v="139.30000000000001"/>
    <n v="126.1"/>
    <n v="141.1"/>
    <n v="137"/>
    <n v="141.80000000000001"/>
    <n v="135.5"/>
    <n v="129.1"/>
    <n v="134.5"/>
    <n v="128.69999999999999"/>
    <n v="128.69999999999999"/>
    <n v="124.3"/>
    <n v="128.4"/>
    <n v="126.1"/>
    <n v="115.2"/>
    <n v="123.5"/>
    <n v="132.4"/>
    <n v="122.1"/>
    <n v="123.4"/>
    <n v="131.4"/>
    <n v="1766.7999999999995"/>
    <n v="141.80000000000001"/>
    <n v="264.60000000000002"/>
    <n v="626.9"/>
    <n v="126.1"/>
    <n v="115.2"/>
    <n v="123.5"/>
    <n v="132.4"/>
  </r>
  <r>
    <x v="0"/>
    <x v="3"/>
    <x v="11"/>
    <x v="48"/>
    <x v="98"/>
    <n v="137.4"/>
    <n v="130.6"/>
    <n v="136.19999999999999"/>
    <n v="121.1"/>
    <n v="136.9"/>
    <n v="141.80000000000001"/>
    <n v="170"/>
    <n v="113.4"/>
    <n v="136.80000000000001"/>
    <n v="128.69999999999999"/>
    <n v="143.1"/>
    <n v="136.6"/>
    <n v="141.19999999999999"/>
    <n v="139.9"/>
    <n v="134.5"/>
    <n v="139.19999999999999"/>
    <s v="NA"/>
    <n v="129.1"/>
    <n v="130.30000000000001"/>
    <n v="132.1"/>
    <n v="129.1"/>
    <n v="118.2"/>
    <n v="126.9"/>
    <n v="133.69999999999999"/>
    <n v="123.5"/>
    <n v="126.1"/>
    <n v="133.6"/>
    <n v="1764.6"/>
    <n v="141.19999999999999"/>
    <n v="274.39999999999998"/>
    <n v="641.1"/>
    <n v="129.1"/>
    <n v="118.2"/>
    <n v="126.9"/>
    <n v="133.69999999999999"/>
  </r>
  <r>
    <x v="1"/>
    <x v="3"/>
    <x v="11"/>
    <x v="48"/>
    <x v="99"/>
    <n v="138.5"/>
    <n v="134.1"/>
    <n v="132.9"/>
    <n v="112.6"/>
    <n v="130.80000000000001"/>
    <n v="142"/>
    <n v="174.9"/>
    <n v="115.6"/>
    <n v="145.4"/>
    <n v="122.7"/>
    <n v="140.30000000000001"/>
    <n v="135.19999999999999"/>
    <n v="144.30000000000001"/>
    <n v="129.6"/>
    <n v="122.1"/>
    <n v="128.5"/>
    <n v="129.1"/>
    <n v="129.1"/>
    <n v="116.2"/>
    <n v="124.7"/>
    <n v="122.1"/>
    <n v="113.4"/>
    <n v="121.7"/>
    <n v="132.1"/>
    <n v="121.3"/>
    <n v="121.3"/>
    <n v="128.5"/>
    <n v="1755.2"/>
    <n v="144.30000000000001"/>
    <n v="251.7"/>
    <n v="612.6"/>
    <n v="122.1"/>
    <n v="113.4"/>
    <n v="121.7"/>
    <n v="132.1"/>
  </r>
  <r>
    <x v="2"/>
    <x v="3"/>
    <x v="11"/>
    <x v="48"/>
    <x v="100"/>
    <n v="137.80000000000001"/>
    <n v="132"/>
    <n v="135"/>
    <n v="118"/>
    <n v="134.1"/>
    <n v="141.9"/>
    <n v="171.7"/>
    <n v="114.1"/>
    <n v="139.69999999999999"/>
    <n v="126.2"/>
    <n v="141.80000000000001"/>
    <n v="136.1"/>
    <n v="142"/>
    <n v="135.80000000000001"/>
    <n v="129.30000000000001"/>
    <n v="135"/>
    <n v="129.1"/>
    <n v="129.1"/>
    <n v="125"/>
    <n v="128.6"/>
    <n v="126.4"/>
    <n v="115.7"/>
    <n v="124"/>
    <n v="132.80000000000001"/>
    <n v="122.6"/>
    <n v="123.8"/>
    <n v="131.19999999999999"/>
    <n v="1759.8"/>
    <n v="142"/>
    <n v="265.10000000000002"/>
    <n v="629.09999999999991"/>
    <n v="126.4"/>
    <n v="115.7"/>
    <n v="124"/>
    <n v="132.80000000000001"/>
  </r>
  <r>
    <x v="0"/>
    <x v="3"/>
    <x v="12"/>
    <x v="49"/>
    <x v="101"/>
    <n v="137.30000000000001"/>
    <n v="131.6"/>
    <n v="136.30000000000001"/>
    <n v="121.6"/>
    <n v="135.6"/>
    <n v="127.5"/>
    <n v="167.9"/>
    <n v="113.8"/>
    <n v="137.5"/>
    <n v="129.1"/>
    <n v="143.6"/>
    <n v="134.69999999999999"/>
    <n v="142.4"/>
    <n v="140.4"/>
    <n v="135.19999999999999"/>
    <n v="139.69999999999999"/>
    <s v="NA"/>
    <n v="128.5"/>
    <n v="132"/>
    <n v="132.9"/>
    <n v="129.69999999999999"/>
    <n v="118.6"/>
    <n v="127.3"/>
    <n v="134.19999999999999"/>
    <n v="121.9"/>
    <n v="126.3"/>
    <n v="132.80000000000001"/>
    <n v="1749.1"/>
    <n v="142.4"/>
    <n v="275.60000000000002"/>
    <n v="641.59999999999991"/>
    <n v="129.69999999999999"/>
    <n v="118.6"/>
    <n v="127.3"/>
    <n v="134.19999999999999"/>
  </r>
  <r>
    <x v="1"/>
    <x v="3"/>
    <x v="12"/>
    <x v="49"/>
    <x v="102"/>
    <n v="138.19999999999999"/>
    <n v="134.9"/>
    <n v="133.1"/>
    <n v="113.5"/>
    <n v="129.30000000000001"/>
    <n v="121.1"/>
    <n v="170.3"/>
    <n v="115.5"/>
    <n v="145.5"/>
    <n v="123.1"/>
    <n v="140.9"/>
    <n v="132.80000000000001"/>
    <n v="145"/>
    <n v="130"/>
    <n v="122.2"/>
    <n v="128.80000000000001"/>
    <n v="128.5"/>
    <n v="128.5"/>
    <n v="117.8"/>
    <n v="125"/>
    <n v="122.3"/>
    <n v="113.7"/>
    <n v="121.8"/>
    <n v="132.30000000000001"/>
    <n v="119.9"/>
    <n v="121.4"/>
    <n v="127.6"/>
    <n v="1729.8"/>
    <n v="145"/>
    <n v="252.2"/>
    <n v="612.6"/>
    <n v="122.3"/>
    <n v="113.7"/>
    <n v="121.8"/>
    <n v="132.30000000000001"/>
  </r>
  <r>
    <x v="2"/>
    <x v="3"/>
    <x v="12"/>
    <x v="49"/>
    <x v="103"/>
    <n v="137.6"/>
    <n v="132.9"/>
    <n v="135.1"/>
    <n v="118.6"/>
    <n v="132.69999999999999"/>
    <n v="125.3"/>
    <n v="168.7"/>
    <n v="114.4"/>
    <n v="140.19999999999999"/>
    <n v="126.6"/>
    <n v="142.30000000000001"/>
    <n v="134"/>
    <n v="143.1"/>
    <n v="136.30000000000001"/>
    <n v="129.80000000000001"/>
    <n v="135.4"/>
    <n v="128.5"/>
    <n v="128.5"/>
    <n v="126.6"/>
    <n v="129.19999999999999"/>
    <n v="126.9"/>
    <n v="116"/>
    <n v="124.2"/>
    <n v="133.1"/>
    <n v="121.1"/>
    <n v="123.9"/>
    <n v="130.4"/>
    <n v="1740.7"/>
    <n v="143.1"/>
    <n v="266.10000000000002"/>
    <n v="629.29999999999995"/>
    <n v="126.9"/>
    <n v="116"/>
    <n v="124.2"/>
    <n v="133.1"/>
  </r>
  <r>
    <x v="0"/>
    <x v="4"/>
    <x v="0"/>
    <x v="50"/>
    <x v="104"/>
    <n v="137.80000000000001"/>
    <n v="131.9"/>
    <n v="136.69999999999999"/>
    <n v="122"/>
    <n v="136"/>
    <n v="119.8"/>
    <n v="161.69999999999999"/>
    <n v="114.8"/>
    <n v="136.9"/>
    <n v="129"/>
    <n v="143.9"/>
    <n v="133.69999999999999"/>
    <n v="143.1"/>
    <n v="140.69999999999999"/>
    <n v="135.80000000000001"/>
    <n v="140"/>
    <s v="NA"/>
    <n v="129.6"/>
    <n v="132.1"/>
    <n v="133.19999999999999"/>
    <n v="129.9"/>
    <n v="119.1"/>
    <n v="127"/>
    <n v="134.6"/>
    <n v="122.3"/>
    <n v="126.6"/>
    <n v="132.4"/>
    <n v="1737.3000000000002"/>
    <n v="143.1"/>
    <n v="276.5"/>
    <n v="643.79999999999995"/>
    <n v="129.9"/>
    <n v="119.1"/>
    <n v="127"/>
    <n v="134.6"/>
  </r>
  <r>
    <x v="1"/>
    <x v="4"/>
    <x v="0"/>
    <x v="50"/>
    <x v="105"/>
    <n v="138.9"/>
    <n v="132.6"/>
    <n v="133.1"/>
    <n v="114"/>
    <n v="129.6"/>
    <n v="118.7"/>
    <n v="155.1"/>
    <n v="117.3"/>
    <n v="144.9"/>
    <n v="123.2"/>
    <n v="141.6"/>
    <n v="132"/>
    <n v="145.6"/>
    <n v="130.19999999999999"/>
    <n v="122.3"/>
    <n v="129"/>
    <n v="129.6"/>
    <n v="129.6"/>
    <n v="118"/>
    <n v="125.1"/>
    <n v="122.6"/>
    <n v="115.2"/>
    <n v="122"/>
    <n v="132.4"/>
    <n v="120.9"/>
    <n v="122.1"/>
    <n v="127.8"/>
    <n v="1713.2"/>
    <n v="145.6"/>
    <n v="252.5"/>
    <n v="615.70000000000005"/>
    <n v="122.6"/>
    <n v="115.2"/>
    <n v="122"/>
    <n v="132.4"/>
  </r>
  <r>
    <x v="2"/>
    <x v="4"/>
    <x v="0"/>
    <x v="50"/>
    <x v="106"/>
    <n v="138.19999999999999"/>
    <n v="132.19999999999999"/>
    <n v="135.4"/>
    <n v="119.1"/>
    <n v="133"/>
    <n v="119.4"/>
    <n v="159.5"/>
    <n v="115.6"/>
    <n v="139.6"/>
    <n v="126.6"/>
    <n v="142.80000000000001"/>
    <n v="133.1"/>
    <n v="143.80000000000001"/>
    <n v="136.6"/>
    <n v="130.19999999999999"/>
    <n v="135.6"/>
    <n v="129.6"/>
    <n v="129.6"/>
    <n v="126.8"/>
    <n v="129.4"/>
    <n v="127.1"/>
    <n v="117"/>
    <n v="124.2"/>
    <n v="133.30000000000001"/>
    <n v="121.7"/>
    <n v="124.4"/>
    <n v="130.30000000000001"/>
    <n v="1727.2999999999995"/>
    <n v="143.80000000000001"/>
    <n v="266.79999999999995"/>
    <n v="631.9"/>
    <n v="127.1"/>
    <n v="117"/>
    <n v="124.2"/>
    <n v="133.30000000000001"/>
  </r>
  <r>
    <x v="0"/>
    <x v="4"/>
    <x v="1"/>
    <x v="51"/>
    <x v="107"/>
    <n v="138.30000000000001"/>
    <n v="129.30000000000001"/>
    <n v="137.19999999999999"/>
    <n v="122.1"/>
    <n v="138.69999999999999"/>
    <n v="119.1"/>
    <n v="156.9"/>
    <n v="116.2"/>
    <n v="136"/>
    <n v="129.4"/>
    <n v="144.4"/>
    <n v="133.6"/>
    <n v="143.69999999999999"/>
    <n v="140.9"/>
    <n v="135.80000000000001"/>
    <n v="140.19999999999999"/>
    <s v="NA"/>
    <n v="130.5"/>
    <n v="133.19999999999999"/>
    <n v="133.6"/>
    <n v="130.1"/>
    <n v="119.5"/>
    <n v="127.7"/>
    <n v="134.9"/>
    <n v="123.2"/>
    <n v="127"/>
    <n v="132.6"/>
    <n v="1734.5000000000002"/>
    <n v="143.69999999999999"/>
    <n v="276.70000000000005"/>
    <n v="647.5"/>
    <n v="130.1"/>
    <n v="119.5"/>
    <n v="127.7"/>
    <n v="134.9"/>
  </r>
  <r>
    <x v="1"/>
    <x v="4"/>
    <x v="1"/>
    <x v="51"/>
    <x v="106"/>
    <n v="139.80000000000001"/>
    <n v="129.30000000000001"/>
    <n v="133.5"/>
    <n v="114.3"/>
    <n v="131.4"/>
    <n v="120.2"/>
    <n v="143.1"/>
    <n v="119.5"/>
    <n v="144"/>
    <n v="123.4"/>
    <n v="141.9"/>
    <n v="132.1"/>
    <n v="146.30000000000001"/>
    <n v="130.5"/>
    <n v="122.5"/>
    <n v="129.30000000000001"/>
    <n v="130.5"/>
    <n v="130.5"/>
    <n v="119.2"/>
    <n v="125.3"/>
    <n v="122.9"/>
    <n v="115.5"/>
    <n v="122.2"/>
    <n v="132.4"/>
    <n v="121.7"/>
    <n v="122.4"/>
    <n v="128.19999999999999"/>
    <n v="1705.3000000000002"/>
    <n v="146.30000000000001"/>
    <n v="253"/>
    <n v="619.1"/>
    <n v="122.9"/>
    <n v="115.5"/>
    <n v="122.2"/>
    <n v="132.4"/>
  </r>
  <r>
    <x v="2"/>
    <x v="4"/>
    <x v="1"/>
    <x v="51"/>
    <x v="104"/>
    <n v="138.80000000000001"/>
    <n v="129.30000000000001"/>
    <n v="135.80000000000001"/>
    <n v="119.2"/>
    <n v="135.30000000000001"/>
    <n v="119.5"/>
    <n v="152.19999999999999"/>
    <n v="117.3"/>
    <n v="138.69999999999999"/>
    <n v="126.9"/>
    <n v="143.19999999999999"/>
    <n v="133"/>
    <n v="144.4"/>
    <n v="136.80000000000001"/>
    <n v="130.30000000000001"/>
    <n v="135.9"/>
    <n v="130.5"/>
    <n v="130.5"/>
    <n v="127.9"/>
    <n v="129.69999999999999"/>
    <n v="127.4"/>
    <n v="117.4"/>
    <n v="124.6"/>
    <n v="133.4"/>
    <n v="122.6"/>
    <n v="124.8"/>
    <n v="130.6"/>
    <n v="1722.3000000000002"/>
    <n v="144.4"/>
    <n v="267.10000000000002"/>
    <n v="635.49999999999989"/>
    <n v="127.4"/>
    <n v="117.4"/>
    <n v="124.6"/>
    <n v="133.4"/>
  </r>
  <r>
    <x v="0"/>
    <x v="4"/>
    <x v="2"/>
    <x v="52"/>
    <x v="108"/>
    <n v="138.80000000000001"/>
    <n v="128.80000000000001"/>
    <n v="137.19999999999999"/>
    <n v="121.6"/>
    <n v="139.69999999999999"/>
    <n v="119.7"/>
    <n v="148"/>
    <n v="116.9"/>
    <n v="135.6"/>
    <n v="129.80000000000001"/>
    <n v="145.4"/>
    <n v="133.4"/>
    <n v="144.19999999999999"/>
    <n v="141.6"/>
    <n v="136.19999999999999"/>
    <n v="140.80000000000001"/>
    <s v="NA"/>
    <n v="131.1"/>
    <n v="134.19999999999999"/>
    <n v="134.1"/>
    <n v="130.6"/>
    <n v="119.8"/>
    <n v="128.30000000000001"/>
    <n v="135.19999999999999"/>
    <n v="123.3"/>
    <n v="127.4"/>
    <n v="132.80000000000001"/>
    <n v="1728.5000000000002"/>
    <n v="144.19999999999999"/>
    <n v="277.79999999999995"/>
    <n v="650.09999999999991"/>
    <n v="130.6"/>
    <n v="119.8"/>
    <n v="128.30000000000001"/>
    <n v="135.19999999999999"/>
  </r>
  <r>
    <x v="1"/>
    <x v="4"/>
    <x v="2"/>
    <x v="52"/>
    <x v="109"/>
    <n v="139.4"/>
    <n v="128.4"/>
    <n v="134.9"/>
    <n v="114"/>
    <n v="136.80000000000001"/>
    <n v="122.2"/>
    <n v="135.80000000000001"/>
    <n v="120.3"/>
    <n v="142.6"/>
    <n v="123.6"/>
    <n v="142.4"/>
    <n v="132.6"/>
    <n v="147.5"/>
    <n v="130.80000000000001"/>
    <n v="122.8"/>
    <n v="129.6"/>
    <n v="131.1"/>
    <n v="131.1"/>
    <n v="120.8"/>
    <n v="125.6"/>
    <n v="123.1"/>
    <n v="115.6"/>
    <n v="122.4"/>
    <n v="132.80000000000001"/>
    <n v="121.7"/>
    <n v="122.6"/>
    <n v="128.69999999999999"/>
    <n v="1705.6999999999998"/>
    <n v="147.5"/>
    <n v="253.60000000000002"/>
    <n v="621.79999999999995"/>
    <n v="123.1"/>
    <n v="115.6"/>
    <n v="122.4"/>
    <n v="132.80000000000001"/>
  </r>
  <r>
    <x v="2"/>
    <x v="4"/>
    <x v="2"/>
    <x v="52"/>
    <x v="107"/>
    <n v="139"/>
    <n v="128.6"/>
    <n v="136.30000000000001"/>
    <n v="118.8"/>
    <n v="138.30000000000001"/>
    <n v="120.5"/>
    <n v="143.9"/>
    <n v="118"/>
    <n v="137.9"/>
    <n v="127.2"/>
    <n v="144"/>
    <n v="133.1"/>
    <n v="145.1"/>
    <n v="137.30000000000001"/>
    <n v="130.6"/>
    <n v="136.4"/>
    <n v="131.1"/>
    <n v="131.1"/>
    <n v="129.1"/>
    <n v="130.1"/>
    <n v="127.8"/>
    <n v="117.6"/>
    <n v="125"/>
    <n v="133.80000000000001"/>
    <n v="122.6"/>
    <n v="125.1"/>
    <n v="130.9"/>
    <n v="1718.9"/>
    <n v="145.1"/>
    <n v="267.89999999999998"/>
    <n v="638"/>
    <n v="127.8"/>
    <n v="117.6"/>
    <n v="125"/>
    <n v="133.80000000000001"/>
  </r>
  <r>
    <x v="0"/>
    <x v="4"/>
    <x v="3"/>
    <x v="53"/>
    <x v="110"/>
    <n v="138.69999999999999"/>
    <n v="127.1"/>
    <n v="137.69999999999999"/>
    <n v="121.3"/>
    <n v="141.80000000000001"/>
    <n v="121.5"/>
    <n v="144.5"/>
    <n v="117.4"/>
    <n v="134.1"/>
    <n v="130"/>
    <n v="145.5"/>
    <n v="133.5"/>
    <n v="144.4"/>
    <n v="142.4"/>
    <n v="136.80000000000001"/>
    <n v="141.6"/>
    <s v="NA"/>
    <n v="131.69999999999999"/>
    <n v="135"/>
    <n v="134.30000000000001"/>
    <n v="131"/>
    <n v="119.2"/>
    <n v="128.30000000000001"/>
    <n v="135.69999999999999"/>
    <n v="123.7"/>
    <n v="127.5"/>
    <n v="132.9"/>
    <n v="1726.3"/>
    <n v="144.4"/>
    <n v="279.20000000000005"/>
    <n v="652.20000000000005"/>
    <n v="131"/>
    <n v="119.2"/>
    <n v="128.30000000000001"/>
    <n v="135.69999999999999"/>
  </r>
  <r>
    <x v="1"/>
    <x v="4"/>
    <x v="3"/>
    <x v="53"/>
    <x v="109"/>
    <n v="140.6"/>
    <n v="124.5"/>
    <n v="136.30000000000001"/>
    <n v="113.5"/>
    <n v="137.69999999999999"/>
    <n v="127.1"/>
    <n v="133.80000000000001"/>
    <n v="120.8"/>
    <n v="141.30000000000001"/>
    <n v="123.8"/>
    <n v="142.6"/>
    <n v="133.4"/>
    <n v="148"/>
    <n v="131.19999999999999"/>
    <n v="123"/>
    <n v="130"/>
    <n v="131.69999999999999"/>
    <n v="131.69999999999999"/>
    <n v="121.4"/>
    <n v="126"/>
    <n v="123.4"/>
    <n v="114.3"/>
    <n v="122.6"/>
    <n v="133.6"/>
    <n v="122.2"/>
    <n v="122.5"/>
    <n v="129.1"/>
    <n v="1708.1"/>
    <n v="148"/>
    <n v="254.2"/>
    <n v="623.79999999999995"/>
    <n v="123.4"/>
    <n v="114.3"/>
    <n v="122.6"/>
    <n v="133.6"/>
  </r>
  <r>
    <x v="2"/>
    <x v="4"/>
    <x v="3"/>
    <x v="53"/>
    <x v="111"/>
    <n v="139.4"/>
    <n v="126.1"/>
    <n v="137.19999999999999"/>
    <n v="118.4"/>
    <n v="139.9"/>
    <n v="123.4"/>
    <n v="140.9"/>
    <n v="118.5"/>
    <n v="136.5"/>
    <n v="127.4"/>
    <n v="144.19999999999999"/>
    <n v="133.5"/>
    <n v="145.4"/>
    <n v="138"/>
    <n v="131.1"/>
    <n v="137"/>
    <n v="131.69999999999999"/>
    <n v="131.69999999999999"/>
    <n v="129.80000000000001"/>
    <n v="130.4"/>
    <n v="128.1"/>
    <n v="116.6"/>
    <n v="125.1"/>
    <n v="134.5"/>
    <n v="123.1"/>
    <n v="125.1"/>
    <n v="131.1"/>
    <n v="1718.4"/>
    <n v="145.4"/>
    <n v="269.10000000000002"/>
    <n v="640.1"/>
    <n v="128.1"/>
    <n v="116.6"/>
    <n v="125.1"/>
    <n v="134.5"/>
  </r>
  <r>
    <x v="0"/>
    <x v="4"/>
    <x v="4"/>
    <x v="54"/>
    <x v="104"/>
    <n v="140.30000000000001"/>
    <n v="126.8"/>
    <n v="138.19999999999999"/>
    <n v="120.8"/>
    <n v="140.19999999999999"/>
    <n v="123.8"/>
    <n v="141.80000000000001"/>
    <n v="118.6"/>
    <n v="134"/>
    <n v="130.30000000000001"/>
    <n v="145.80000000000001"/>
    <n v="133.80000000000001"/>
    <n v="145.5"/>
    <n v="142.5"/>
    <n v="137.30000000000001"/>
    <n v="141.80000000000001"/>
    <s v="NA"/>
    <n v="132.1"/>
    <n v="135"/>
    <n v="134.9"/>
    <n v="131.4"/>
    <n v="119.4"/>
    <n v="129.4"/>
    <n v="136.30000000000001"/>
    <n v="123.7"/>
    <n v="127.9"/>
    <n v="133.30000000000001"/>
    <n v="1727.4999999999995"/>
    <n v="145.5"/>
    <n v="279.8"/>
    <n v="653.6"/>
    <n v="131.4"/>
    <n v="119.4"/>
    <n v="129.4"/>
    <n v="136.30000000000001"/>
  </r>
  <r>
    <x v="1"/>
    <x v="4"/>
    <x v="4"/>
    <x v="54"/>
    <x v="101"/>
    <n v="144.1"/>
    <n v="125.6"/>
    <n v="136.80000000000001"/>
    <n v="113.4"/>
    <n v="135.19999999999999"/>
    <n v="129.19999999999999"/>
    <n v="131.5"/>
    <n v="121"/>
    <n v="139.9"/>
    <n v="123.8"/>
    <n v="142.9"/>
    <n v="133.6"/>
    <n v="148.30000000000001"/>
    <n v="131.5"/>
    <n v="123.2"/>
    <n v="130.19999999999999"/>
    <n v="132.1"/>
    <n v="132.1"/>
    <n v="120.1"/>
    <n v="126.5"/>
    <n v="123.6"/>
    <n v="114.3"/>
    <n v="122.8"/>
    <n v="133.80000000000001"/>
    <n v="122"/>
    <n v="122.6"/>
    <n v="129.30000000000001"/>
    <n v="1709.6"/>
    <n v="148.30000000000001"/>
    <n v="254.7"/>
    <n v="623.29999999999995"/>
    <n v="123.6"/>
    <n v="114.3"/>
    <n v="122.8"/>
    <n v="133.80000000000001"/>
  </r>
  <r>
    <x v="2"/>
    <x v="4"/>
    <x v="4"/>
    <x v="54"/>
    <x v="112"/>
    <n v="141.6"/>
    <n v="126.3"/>
    <n v="137.69999999999999"/>
    <n v="118.1"/>
    <n v="137.9"/>
    <n v="125.6"/>
    <n v="138.30000000000001"/>
    <n v="119.4"/>
    <n v="136"/>
    <n v="127.6"/>
    <n v="144.5"/>
    <n v="133.69999999999999"/>
    <n v="146.19999999999999"/>
    <n v="138.19999999999999"/>
    <n v="131.4"/>
    <n v="137.19999999999999"/>
    <n v="132.1"/>
    <n v="132.1"/>
    <n v="129.4"/>
    <n v="130.9"/>
    <n v="128.4"/>
    <n v="116.7"/>
    <n v="125.7"/>
    <n v="134.80000000000001"/>
    <n v="123"/>
    <n v="125.3"/>
    <n v="131.4"/>
    <n v="1719.6000000000001"/>
    <n v="146.19999999999999"/>
    <n v="269.60000000000002"/>
    <n v="640.69999999999993"/>
    <n v="128.4"/>
    <n v="116.7"/>
    <n v="125.7"/>
    <n v="134.80000000000001"/>
  </r>
  <r>
    <x v="0"/>
    <x v="4"/>
    <x v="5"/>
    <x v="55"/>
    <x v="113"/>
    <n v="143.69999999999999"/>
    <n v="128"/>
    <n v="138.6"/>
    <n v="120.9"/>
    <n v="140.9"/>
    <n v="128.80000000000001"/>
    <n v="140.19999999999999"/>
    <n v="118.9"/>
    <n v="133.5"/>
    <n v="130.4"/>
    <n v="146.5"/>
    <n v="134.9"/>
    <n v="145.80000000000001"/>
    <n v="143.1"/>
    <n v="137.69999999999999"/>
    <n v="142.30000000000001"/>
    <s v="NA"/>
    <n v="131.4"/>
    <n v="134.80000000000001"/>
    <n v="135.19999999999999"/>
    <n v="131.30000000000001"/>
    <n v="119.4"/>
    <n v="129.80000000000001"/>
    <n v="136.9"/>
    <n v="124.1"/>
    <n v="128.1"/>
    <n v="133.9"/>
    <n v="1738.8000000000002"/>
    <n v="145.80000000000001"/>
    <n v="280.79999999999995"/>
    <n v="653.6"/>
    <n v="131.30000000000001"/>
    <n v="119.4"/>
    <n v="129.80000000000001"/>
    <n v="136.9"/>
  </r>
  <r>
    <x v="1"/>
    <x v="4"/>
    <x v="5"/>
    <x v="55"/>
    <x v="112"/>
    <n v="148.69999999999999"/>
    <n v="128.30000000000001"/>
    <n v="137.30000000000001"/>
    <n v="113.5"/>
    <n v="137.19999999999999"/>
    <n v="142.19999999999999"/>
    <n v="128.19999999999999"/>
    <n v="120.9"/>
    <n v="138.80000000000001"/>
    <n v="124.2"/>
    <n v="143.1"/>
    <n v="135.69999999999999"/>
    <n v="148.6"/>
    <n v="131.5"/>
    <n v="123.2"/>
    <n v="130.19999999999999"/>
    <n v="131.4"/>
    <n v="131.4"/>
    <n v="119"/>
    <n v="126.8"/>
    <n v="123.8"/>
    <n v="113.9"/>
    <n v="122.9"/>
    <n v="134.30000000000001"/>
    <n v="122.5"/>
    <n v="122.7"/>
    <n v="129.9"/>
    <n v="1731.0000000000002"/>
    <n v="148.6"/>
    <n v="254.7"/>
    <n v="622.4"/>
    <n v="123.8"/>
    <n v="113.9"/>
    <n v="122.9"/>
    <n v="134.30000000000001"/>
  </r>
  <r>
    <x v="2"/>
    <x v="4"/>
    <x v="5"/>
    <x v="55"/>
    <x v="107"/>
    <n v="145.5"/>
    <n v="128.1"/>
    <n v="138.1"/>
    <n v="118.2"/>
    <n v="139.19999999999999"/>
    <n v="133.30000000000001"/>
    <n v="136.19999999999999"/>
    <n v="119.6"/>
    <n v="135.30000000000001"/>
    <n v="127.8"/>
    <n v="144.9"/>
    <n v="135.19999999999999"/>
    <n v="146.5"/>
    <n v="138.5"/>
    <n v="131.69999999999999"/>
    <n v="137.5"/>
    <n v="131.4"/>
    <n v="131.4"/>
    <n v="128.80000000000001"/>
    <n v="131.19999999999999"/>
    <n v="128.5"/>
    <n v="116.5"/>
    <n v="125.9"/>
    <n v="135.4"/>
    <n v="123.4"/>
    <n v="125.5"/>
    <n v="132"/>
    <n v="1734.7"/>
    <n v="146.5"/>
    <n v="270.2"/>
    <n v="640.30000000000007"/>
    <n v="128.5"/>
    <n v="116.5"/>
    <n v="125.9"/>
    <n v="135.4"/>
  </r>
  <r>
    <x v="0"/>
    <x v="4"/>
    <x v="6"/>
    <x v="56"/>
    <x v="114"/>
    <n v="144.19999999999999"/>
    <n v="129.80000000000001"/>
    <n v="139"/>
    <n v="120.9"/>
    <n v="143.9"/>
    <n v="151.5"/>
    <n v="138.1"/>
    <n v="120"/>
    <n v="133.9"/>
    <n v="131.4"/>
    <n v="147.69999999999999"/>
    <n v="138.5"/>
    <n v="147.4"/>
    <n v="144.30000000000001"/>
    <n v="138.1"/>
    <n v="143.5"/>
    <s v="NA"/>
    <n v="132.6"/>
    <n v="135.30000000000001"/>
    <n v="136.1"/>
    <n v="132.1"/>
    <n v="119.1"/>
    <n v="130.6"/>
    <n v="138.6"/>
    <n v="124.4"/>
    <n v="128.6"/>
    <n v="136.19999999999999"/>
    <n v="1772.9"/>
    <n v="147.4"/>
    <n v="282.39999999999998"/>
    <n v="657"/>
    <n v="132.1"/>
    <n v="119.1"/>
    <n v="130.6"/>
    <n v="138.6"/>
  </r>
  <r>
    <x v="1"/>
    <x v="4"/>
    <x v="6"/>
    <x v="56"/>
    <x v="106"/>
    <n v="148.4"/>
    <n v="129.4"/>
    <n v="137.69999999999999"/>
    <n v="113.4"/>
    <n v="139.4"/>
    <n v="175.1"/>
    <n v="124.7"/>
    <n v="121.5"/>
    <n v="137.80000000000001"/>
    <n v="124.4"/>
    <n v="143.69999999999999"/>
    <n v="139.80000000000001"/>
    <n v="150.5"/>
    <n v="131.6"/>
    <n v="123.7"/>
    <n v="130.4"/>
    <n v="132.6"/>
    <n v="132.6"/>
    <n v="119.7"/>
    <n v="127.2"/>
    <n v="125"/>
    <n v="113.2"/>
    <n v="123.5"/>
    <n v="135.5"/>
    <n v="122.4"/>
    <n v="123"/>
    <n v="131.80000000000001"/>
    <n v="1768.1"/>
    <n v="150.5"/>
    <n v="255.3"/>
    <n v="624.9"/>
    <n v="125"/>
    <n v="113.2"/>
    <n v="123.5"/>
    <n v="135.5"/>
  </r>
  <r>
    <x v="2"/>
    <x v="4"/>
    <x v="6"/>
    <x v="56"/>
    <x v="108"/>
    <n v="145.69999999999999"/>
    <n v="129.6"/>
    <n v="138.5"/>
    <n v="118.1"/>
    <n v="141.80000000000001"/>
    <n v="159.5"/>
    <n v="133.6"/>
    <n v="120.5"/>
    <n v="135.19999999999999"/>
    <n v="128.5"/>
    <n v="145.80000000000001"/>
    <n v="139"/>
    <n v="148.19999999999999"/>
    <n v="139.30000000000001"/>
    <n v="132.1"/>
    <n v="138.30000000000001"/>
    <n v="132.6"/>
    <n v="132.6"/>
    <n v="129.4"/>
    <n v="131.9"/>
    <n v="129.4"/>
    <n v="116"/>
    <n v="126.6"/>
    <n v="136.80000000000001"/>
    <n v="123.6"/>
    <n v="125.9"/>
    <n v="134.19999999999999"/>
    <n v="1769.3999999999999"/>
    <n v="148.19999999999999"/>
    <n v="271.39999999999998"/>
    <n v="643.4"/>
    <n v="129.4"/>
    <n v="116"/>
    <n v="126.6"/>
    <n v="136.80000000000001"/>
  </r>
  <r>
    <x v="0"/>
    <x v="4"/>
    <x v="7"/>
    <x v="57"/>
    <x v="115"/>
    <n v="143.1"/>
    <n v="130"/>
    <n v="139.4"/>
    <n v="120.5"/>
    <n v="148"/>
    <n v="162.9"/>
    <n v="137.4"/>
    <n v="120.8"/>
    <n v="134.69999999999999"/>
    <n v="131.6"/>
    <n v="148.69999999999999"/>
    <n v="140.6"/>
    <n v="149"/>
    <n v="145.30000000000001"/>
    <n v="139.19999999999999"/>
    <n v="144.5"/>
    <s v="NA"/>
    <n v="134.4"/>
    <n v="136.4"/>
    <n v="137.30000000000001"/>
    <n v="133"/>
    <n v="120.3"/>
    <n v="131.5"/>
    <n v="140.19999999999999"/>
    <n v="125.4"/>
    <n v="129.69999999999999"/>
    <n v="137.80000000000001"/>
    <n v="1792.4999999999998"/>
    <n v="149"/>
    <n v="284.5"/>
    <n v="663.2"/>
    <n v="133"/>
    <n v="120.3"/>
    <n v="131.5"/>
    <n v="140.19999999999999"/>
  </r>
  <r>
    <x v="1"/>
    <x v="4"/>
    <x v="7"/>
    <x v="57"/>
    <x v="110"/>
    <n v="143.9"/>
    <n v="128.30000000000001"/>
    <n v="138.30000000000001"/>
    <n v="114.1"/>
    <n v="142.69999999999999"/>
    <n v="179.8"/>
    <n v="123.5"/>
    <n v="122.1"/>
    <n v="137.5"/>
    <n v="124.6"/>
    <n v="144.5"/>
    <n v="140.5"/>
    <n v="152.1"/>
    <n v="132.69999999999999"/>
    <n v="124.3"/>
    <n v="131.4"/>
    <n v="134.4"/>
    <n v="134.4"/>
    <n v="118.9"/>
    <n v="127.7"/>
    <n v="125.7"/>
    <n v="114.6"/>
    <n v="124.1"/>
    <n v="135.69999999999999"/>
    <n v="123.3"/>
    <n v="123.8"/>
    <n v="132.69999999999999"/>
    <n v="1772.9999999999998"/>
    <n v="152.1"/>
    <n v="257"/>
    <n v="628.1"/>
    <n v="125.7"/>
    <n v="114.6"/>
    <n v="124.1"/>
    <n v="135.69999999999999"/>
  </r>
  <r>
    <x v="2"/>
    <x v="4"/>
    <x v="7"/>
    <x v="57"/>
    <x v="116"/>
    <n v="143.4"/>
    <n v="129.30000000000001"/>
    <n v="139"/>
    <n v="118.1"/>
    <n v="145.5"/>
    <n v="168.6"/>
    <n v="132.69999999999999"/>
    <n v="121.2"/>
    <n v="135.6"/>
    <n v="128.69999999999999"/>
    <n v="146.80000000000001"/>
    <n v="140.6"/>
    <n v="149.80000000000001"/>
    <n v="140.30000000000001"/>
    <n v="133"/>
    <n v="139.30000000000001"/>
    <n v="134.4"/>
    <n v="134.4"/>
    <n v="129.80000000000001"/>
    <n v="132.80000000000001"/>
    <n v="130.19999999999999"/>
    <n v="117.3"/>
    <n v="127.3"/>
    <n v="137.6"/>
    <n v="124.5"/>
    <n v="126.8"/>
    <n v="135.4"/>
    <n v="1783.8"/>
    <n v="149.80000000000001"/>
    <n v="273.3"/>
    <n v="648.29999999999995"/>
    <n v="130.19999999999999"/>
    <n v="117.3"/>
    <n v="127.3"/>
    <n v="137.6"/>
  </r>
  <r>
    <x v="0"/>
    <x v="4"/>
    <x v="8"/>
    <x v="58"/>
    <x v="117"/>
    <n v="142"/>
    <n v="130.5"/>
    <n v="140.19999999999999"/>
    <n v="120.7"/>
    <n v="147.80000000000001"/>
    <n v="154.5"/>
    <n v="137.1"/>
    <n v="121"/>
    <n v="134.69999999999999"/>
    <n v="131.69999999999999"/>
    <n v="149.30000000000001"/>
    <n v="139.6"/>
    <n v="149.80000000000001"/>
    <n v="146.1"/>
    <n v="139.69999999999999"/>
    <n v="145.19999999999999"/>
    <s v="NA"/>
    <n v="135.69999999999999"/>
    <n v="137.4"/>
    <n v="137.9"/>
    <n v="133.4"/>
    <n v="121.2"/>
    <n v="132.30000000000001"/>
    <n v="139.6"/>
    <n v="126.7"/>
    <n v="130.30000000000001"/>
    <n v="137.6"/>
    <n v="1784.3"/>
    <n v="149.80000000000001"/>
    <n v="285.79999999999995"/>
    <n v="668"/>
    <n v="133.4"/>
    <n v="121.2"/>
    <n v="132.30000000000001"/>
    <n v="139.6"/>
  </r>
  <r>
    <x v="1"/>
    <x v="4"/>
    <x v="8"/>
    <x v="58"/>
    <x v="108"/>
    <n v="143"/>
    <n v="129.69999999999999"/>
    <n v="138.69999999999999"/>
    <n v="114.5"/>
    <n v="137.5"/>
    <n v="160.69999999999999"/>
    <n v="124.5"/>
    <n v="122.4"/>
    <n v="137.30000000000001"/>
    <n v="124.8"/>
    <n v="145"/>
    <n v="138"/>
    <n v="153.6"/>
    <n v="133.30000000000001"/>
    <n v="124.6"/>
    <n v="132"/>
    <n v="135.69999999999999"/>
    <n v="135.69999999999999"/>
    <n v="120.6"/>
    <n v="128.1"/>
    <n v="126.1"/>
    <n v="115.7"/>
    <n v="124.5"/>
    <n v="135.9"/>
    <n v="124.4"/>
    <n v="124.5"/>
    <n v="132.4"/>
    <n v="1749.7"/>
    <n v="153.6"/>
    <n v="257.89999999999998"/>
    <n v="633.29999999999995"/>
    <n v="126.1"/>
    <n v="115.7"/>
    <n v="124.5"/>
    <n v="135.9"/>
  </r>
  <r>
    <x v="2"/>
    <x v="4"/>
    <x v="8"/>
    <x v="58"/>
    <x v="118"/>
    <n v="142.4"/>
    <n v="130.19999999999999"/>
    <n v="139.6"/>
    <n v="118.4"/>
    <n v="143"/>
    <n v="156.6"/>
    <n v="132.9"/>
    <n v="121.5"/>
    <n v="135.6"/>
    <n v="128.80000000000001"/>
    <n v="147.30000000000001"/>
    <n v="139"/>
    <n v="150.80000000000001"/>
    <n v="141.1"/>
    <n v="133.4"/>
    <n v="140"/>
    <n v="135.69999999999999"/>
    <n v="135.69999999999999"/>
    <n v="131"/>
    <n v="133.30000000000001"/>
    <n v="130.6"/>
    <n v="118.3"/>
    <n v="127.9"/>
    <n v="137.4"/>
    <n v="125.7"/>
    <n v="127.5"/>
    <n v="135.19999999999999"/>
    <n v="1769.9999999999998"/>
    <n v="150.80000000000001"/>
    <n v="274.5"/>
    <n v="653.20000000000005"/>
    <n v="130.6"/>
    <n v="118.3"/>
    <n v="127.9"/>
    <n v="137.4"/>
  </r>
  <r>
    <x v="0"/>
    <x v="4"/>
    <x v="9"/>
    <x v="59"/>
    <x v="119"/>
    <n v="141.9"/>
    <n v="131"/>
    <n v="141.5"/>
    <n v="121.4"/>
    <n v="146.69999999999999"/>
    <n v="157.1"/>
    <n v="136.4"/>
    <n v="121.4"/>
    <n v="135.6"/>
    <n v="131.30000000000001"/>
    <n v="150.30000000000001"/>
    <n v="140.4"/>
    <n v="150.5"/>
    <n v="147.19999999999999"/>
    <n v="140.6"/>
    <n v="146.19999999999999"/>
    <s v="NA"/>
    <n v="137.30000000000001"/>
    <n v="138.1"/>
    <n v="138.4"/>
    <n v="134.19999999999999"/>
    <n v="121"/>
    <n v="133"/>
    <n v="140.1"/>
    <n v="127.4"/>
    <n v="130.69999999999999"/>
    <n v="138.30000000000001"/>
    <n v="1790.8999999999999"/>
    <n v="150.5"/>
    <n v="287.79999999999995"/>
    <n v="671.89999999999986"/>
    <n v="134.19999999999999"/>
    <n v="121"/>
    <n v="133"/>
    <n v="140.1"/>
  </r>
  <r>
    <x v="1"/>
    <x v="4"/>
    <x v="9"/>
    <x v="59"/>
    <x v="120"/>
    <n v="142.80000000000001"/>
    <n v="131.4"/>
    <n v="139.1"/>
    <n v="114.9"/>
    <n v="135.6"/>
    <n v="173.2"/>
    <n v="124.1"/>
    <n v="122.6"/>
    <n v="137.80000000000001"/>
    <n v="125.1"/>
    <n v="145.5"/>
    <n v="139.69999999999999"/>
    <n v="154.6"/>
    <n v="134"/>
    <n v="124.9"/>
    <n v="132.6"/>
    <n v="137.30000000000001"/>
    <n v="137.30000000000001"/>
    <n v="122.6"/>
    <n v="128.30000000000001"/>
    <n v="126.6"/>
    <n v="115"/>
    <n v="124.8"/>
    <n v="136.30000000000001"/>
    <n v="124.6"/>
    <n v="124.5"/>
    <n v="133.5"/>
    <n v="1765.6999999999998"/>
    <n v="154.6"/>
    <n v="258.89999999999998"/>
    <n v="637.29999999999995"/>
    <n v="126.6"/>
    <n v="115"/>
    <n v="124.8"/>
    <n v="136.30000000000001"/>
  </r>
  <r>
    <x v="2"/>
    <x v="4"/>
    <x v="9"/>
    <x v="59"/>
    <x v="121"/>
    <n v="142.19999999999999"/>
    <n v="131.19999999999999"/>
    <n v="140.6"/>
    <n v="119"/>
    <n v="141.5"/>
    <n v="162.6"/>
    <n v="132.30000000000001"/>
    <n v="121.8"/>
    <n v="136.30000000000001"/>
    <n v="128.69999999999999"/>
    <n v="148.1"/>
    <n v="140.1"/>
    <n v="151.6"/>
    <n v="142"/>
    <n v="134.1"/>
    <n v="140.80000000000001"/>
    <n v="137.30000000000001"/>
    <n v="137.30000000000001"/>
    <n v="132.19999999999999"/>
    <n v="133.6"/>
    <n v="131.30000000000001"/>
    <n v="117.8"/>
    <n v="128.4"/>
    <n v="137.9"/>
    <n v="126.2"/>
    <n v="127.7"/>
    <n v="136.1"/>
    <n v="1779.6999999999998"/>
    <n v="151.6"/>
    <n v="276.10000000000002"/>
    <n v="657.00000000000011"/>
    <n v="131.30000000000001"/>
    <n v="117.8"/>
    <n v="128.4"/>
    <n v="137.9"/>
  </r>
  <r>
    <x v="0"/>
    <x v="4"/>
    <x v="11"/>
    <x v="60"/>
    <x v="122"/>
    <n v="142.5"/>
    <n v="140.5"/>
    <n v="141.5"/>
    <n v="121.6"/>
    <n v="147.30000000000001"/>
    <n v="168"/>
    <n v="135.80000000000001"/>
    <n v="122.5"/>
    <n v="136"/>
    <n v="131.9"/>
    <n v="151.4"/>
    <n v="142.4"/>
    <n v="152.1"/>
    <n v="148.19999999999999"/>
    <n v="141.5"/>
    <n v="147.30000000000001"/>
    <s v="NA"/>
    <n v="138.6"/>
    <n v="141.1"/>
    <n v="139.4"/>
    <n v="135.80000000000001"/>
    <n v="121.6"/>
    <n v="133.69999999999999"/>
    <n v="141.5"/>
    <n v="128.1"/>
    <n v="131.69999999999999"/>
    <n v="140"/>
    <n v="1817.7000000000003"/>
    <n v="152.1"/>
    <n v="289.7"/>
    <n v="678.90000000000009"/>
    <n v="135.80000000000001"/>
    <n v="121.6"/>
    <n v="133.69999999999999"/>
    <n v="141.5"/>
  </r>
  <r>
    <x v="1"/>
    <x v="4"/>
    <x v="11"/>
    <x v="60"/>
    <x v="116"/>
    <n v="142.1"/>
    <n v="146.69999999999999"/>
    <n v="139.5"/>
    <n v="115.2"/>
    <n v="136.4"/>
    <n v="185.2"/>
    <n v="122.2"/>
    <n v="123.9"/>
    <n v="138.30000000000001"/>
    <n v="125.4"/>
    <n v="146"/>
    <n v="141.5"/>
    <n v="156.19999999999999"/>
    <n v="135"/>
    <n v="125.4"/>
    <n v="133.5"/>
    <n v="138.6"/>
    <n v="138.6"/>
    <n v="125.7"/>
    <n v="128.80000000000001"/>
    <n v="127.4"/>
    <n v="115.3"/>
    <n v="125.1"/>
    <n v="136.6"/>
    <n v="124.9"/>
    <n v="124.9"/>
    <n v="134.80000000000001"/>
    <n v="1796.7"/>
    <n v="156.19999999999999"/>
    <n v="260.39999999999998"/>
    <n v="642.9"/>
    <n v="127.4"/>
    <n v="115.3"/>
    <n v="125.1"/>
    <n v="136.6"/>
  </r>
  <r>
    <x v="2"/>
    <x v="4"/>
    <x v="11"/>
    <x v="60"/>
    <x v="123"/>
    <n v="142.4"/>
    <n v="142.9"/>
    <n v="140.80000000000001"/>
    <n v="119.2"/>
    <n v="142.19999999999999"/>
    <n v="173.8"/>
    <n v="131.19999999999999"/>
    <n v="123"/>
    <n v="136.80000000000001"/>
    <n v="129.19999999999999"/>
    <n v="148.9"/>
    <n v="142.1"/>
    <n v="153.19999999999999"/>
    <n v="143"/>
    <n v="134.80000000000001"/>
    <n v="141.80000000000001"/>
    <n v="138.6"/>
    <n v="138.6"/>
    <n v="135.30000000000001"/>
    <n v="134.4"/>
    <n v="132.6"/>
    <n v="118.3"/>
    <n v="128.9"/>
    <n v="138.6"/>
    <n v="126.8"/>
    <n v="128.4"/>
    <n v="137.6"/>
    <n v="1808.2"/>
    <n v="153.19999999999999"/>
    <n v="277.8"/>
    <n v="663.49999999999989"/>
    <n v="132.6"/>
    <n v="118.3"/>
    <n v="128.9"/>
    <n v="138.6"/>
  </r>
  <r>
    <x v="0"/>
    <x v="4"/>
    <x v="12"/>
    <x v="61"/>
    <x v="124"/>
    <n v="143.69999999999999"/>
    <n v="144.80000000000001"/>
    <n v="141.9"/>
    <n v="123.1"/>
    <n v="147.19999999999999"/>
    <n v="161"/>
    <n v="133.80000000000001"/>
    <n v="121.9"/>
    <n v="135.80000000000001"/>
    <n v="131.1"/>
    <n v="151.4"/>
    <n v="141.5"/>
    <n v="153.19999999999999"/>
    <n v="148"/>
    <n v="141.9"/>
    <n v="147.19999999999999"/>
    <s v="NA"/>
    <n v="139.1"/>
    <n v="142.6"/>
    <n v="139.5"/>
    <n v="136.1"/>
    <n v="122"/>
    <n v="133.4"/>
    <n v="141.1"/>
    <n v="127.8"/>
    <n v="131.9"/>
    <n v="139.80000000000001"/>
    <n v="1813.6000000000001"/>
    <n v="153.19999999999999"/>
    <n v="289.89999999999998"/>
    <n v="680.9"/>
    <n v="136.1"/>
    <n v="122"/>
    <n v="133.4"/>
    <n v="141.1"/>
  </r>
  <r>
    <x v="1"/>
    <x v="4"/>
    <x v="12"/>
    <x v="61"/>
    <x v="125"/>
    <n v="142.6"/>
    <n v="145.9"/>
    <n v="139.5"/>
    <n v="115.9"/>
    <n v="135"/>
    <n v="163.19999999999999"/>
    <n v="119.8"/>
    <n v="120.7"/>
    <n v="139.69999999999999"/>
    <n v="125.7"/>
    <n v="146.30000000000001"/>
    <n v="138.80000000000001"/>
    <n v="157"/>
    <n v="135.6"/>
    <n v="125.6"/>
    <n v="134"/>
    <n v="139.1"/>
    <n v="139.1"/>
    <n v="126.8"/>
    <n v="129.30000000000001"/>
    <n v="128.19999999999999"/>
    <n v="115.3"/>
    <n v="125.6"/>
    <n v="136.69999999999999"/>
    <n v="124.6"/>
    <n v="125.1"/>
    <n v="134.1"/>
    <n v="1767.5"/>
    <n v="157"/>
    <n v="261.2"/>
    <n v="644.9"/>
    <n v="128.19999999999999"/>
    <n v="115.3"/>
    <n v="125.6"/>
    <n v="136.69999999999999"/>
  </r>
  <r>
    <x v="2"/>
    <x v="4"/>
    <x v="12"/>
    <x v="61"/>
    <x v="126"/>
    <n v="143.30000000000001"/>
    <n v="145.19999999999999"/>
    <n v="141"/>
    <n v="120.5"/>
    <n v="141.5"/>
    <n v="161.69999999999999"/>
    <n v="129.1"/>
    <n v="121.5"/>
    <n v="137.1"/>
    <n v="128.80000000000001"/>
    <n v="149"/>
    <n v="140.5"/>
    <n v="154.19999999999999"/>
    <n v="143.1"/>
    <n v="135.1"/>
    <n v="142"/>
    <n v="139.1"/>
    <n v="139.1"/>
    <n v="136.6"/>
    <n v="134.69999999999999"/>
    <n v="133.1"/>
    <n v="118.5"/>
    <n v="129"/>
    <n v="138.5"/>
    <n v="126.5"/>
    <n v="128.6"/>
    <n v="137.19999999999999"/>
    <n v="1794.9999999999998"/>
    <n v="154.19999999999999"/>
    <n v="278.2"/>
    <n v="665.5"/>
    <n v="133.1"/>
    <n v="118.5"/>
    <n v="129"/>
    <n v="138.5"/>
  </r>
  <r>
    <x v="0"/>
    <x v="5"/>
    <x v="0"/>
    <x v="62"/>
    <x v="127"/>
    <n v="144.4"/>
    <n v="143.80000000000001"/>
    <n v="142"/>
    <n v="123.2"/>
    <n v="147.9"/>
    <n v="152.1"/>
    <n v="131.80000000000001"/>
    <n v="119.5"/>
    <n v="136"/>
    <n v="131.19999999999999"/>
    <n v="151.80000000000001"/>
    <n v="140.4"/>
    <n v="153.6"/>
    <n v="148.30000000000001"/>
    <n v="142.30000000000001"/>
    <n v="147.5"/>
    <s v="NA"/>
    <n v="140.4"/>
    <n v="142.30000000000001"/>
    <n v="139.80000000000001"/>
    <n v="136"/>
    <n v="122.7"/>
    <n v="134.30000000000001"/>
    <n v="141.6"/>
    <n v="128.6"/>
    <n v="132.30000000000001"/>
    <n v="139.30000000000001"/>
    <n v="1800.7"/>
    <n v="153.6"/>
    <n v="290.60000000000002"/>
    <n v="683.40000000000009"/>
    <n v="136"/>
    <n v="122.7"/>
    <n v="134.30000000000001"/>
    <n v="141.6"/>
  </r>
  <r>
    <x v="1"/>
    <x v="5"/>
    <x v="0"/>
    <x v="62"/>
    <x v="128"/>
    <n v="143.69999999999999"/>
    <n v="143.6"/>
    <n v="139.6"/>
    <n v="116.4"/>
    <n v="133.80000000000001"/>
    <n v="150.5"/>
    <n v="118.4"/>
    <n v="117.3"/>
    <n v="140.5"/>
    <n v="125.9"/>
    <n v="146.80000000000001"/>
    <n v="137.19999999999999"/>
    <n v="157.69999999999999"/>
    <n v="136"/>
    <n v="125.9"/>
    <n v="134.4"/>
    <n v="140.4"/>
    <n v="140.4"/>
    <n v="127.3"/>
    <n v="129.5"/>
    <n v="129"/>
    <n v="116.3"/>
    <n v="126.2"/>
    <n v="137.1"/>
    <n v="125.5"/>
    <n v="125.8"/>
    <n v="134.1"/>
    <n v="1748.3000000000002"/>
    <n v="157.69999999999999"/>
    <n v="261.89999999999998"/>
    <n v="648.5"/>
    <n v="129"/>
    <n v="116.3"/>
    <n v="126.2"/>
    <n v="137.1"/>
  </r>
  <r>
    <x v="2"/>
    <x v="5"/>
    <x v="0"/>
    <x v="62"/>
    <x v="129"/>
    <n v="144.19999999999999"/>
    <n v="143.69999999999999"/>
    <n v="141.1"/>
    <n v="120.7"/>
    <n v="141.30000000000001"/>
    <n v="151.6"/>
    <n v="127.3"/>
    <n v="118.8"/>
    <n v="137.5"/>
    <n v="129"/>
    <n v="149.5"/>
    <n v="139.19999999999999"/>
    <n v="154.69999999999999"/>
    <n v="143.5"/>
    <n v="135.5"/>
    <n v="142.30000000000001"/>
    <n v="140.4"/>
    <n v="140.4"/>
    <n v="136.6"/>
    <n v="134.9"/>
    <n v="133.30000000000001"/>
    <n v="119.3"/>
    <n v="129.69999999999999"/>
    <n v="139"/>
    <n v="127.3"/>
    <n v="129.1"/>
    <n v="136.9"/>
    <n v="1779.9"/>
    <n v="154.69999999999999"/>
    <n v="279"/>
    <n v="668.3"/>
    <n v="133.30000000000001"/>
    <n v="119.3"/>
    <n v="129.69999999999999"/>
    <n v="139"/>
  </r>
  <r>
    <x v="0"/>
    <x v="5"/>
    <x v="1"/>
    <x v="63"/>
    <x v="124"/>
    <n v="143.69999999999999"/>
    <n v="140.6"/>
    <n v="141.5"/>
    <n v="122.9"/>
    <n v="149.4"/>
    <n v="142.4"/>
    <n v="130.19999999999999"/>
    <n v="117.9"/>
    <n v="135.6"/>
    <n v="130.5"/>
    <n v="151.69999999999999"/>
    <n v="138.69999999999999"/>
    <n v="153.30000000000001"/>
    <n v="148.69999999999999"/>
    <n v="142.4"/>
    <n v="147.80000000000001"/>
    <s v="NA"/>
    <n v="141.30000000000001"/>
    <n v="142.4"/>
    <n v="139.9"/>
    <n v="136.19999999999999"/>
    <n v="123.3"/>
    <n v="134.30000000000001"/>
    <n v="141.5"/>
    <n v="128.80000000000001"/>
    <n v="132.5"/>
    <n v="138.5"/>
    <n v="1781.5"/>
    <n v="153.30000000000001"/>
    <n v="291.10000000000002"/>
    <n v="684.90000000000009"/>
    <n v="136.19999999999999"/>
    <n v="123.3"/>
    <n v="134.30000000000001"/>
    <n v="141.5"/>
  </r>
  <r>
    <x v="1"/>
    <x v="5"/>
    <x v="1"/>
    <x v="63"/>
    <x v="115"/>
    <n v="143"/>
    <n v="139.9"/>
    <n v="139.9"/>
    <n v="116.2"/>
    <n v="135.5"/>
    <n v="136.9"/>
    <n v="117"/>
    <n v="115.4"/>
    <n v="140.69999999999999"/>
    <n v="125.9"/>
    <n v="147.1"/>
    <n v="135.6"/>
    <n v="159.30000000000001"/>
    <n v="136.30000000000001"/>
    <n v="126.1"/>
    <n v="134.69999999999999"/>
    <n v="141.30000000000001"/>
    <n v="141.30000000000001"/>
    <n v="127.3"/>
    <n v="129.9"/>
    <n v="129.80000000000001"/>
    <n v="117.4"/>
    <n v="126.5"/>
    <n v="137.19999999999999"/>
    <n v="126.2"/>
    <n v="126.5"/>
    <n v="134"/>
    <n v="1727.9"/>
    <n v="159.30000000000001"/>
    <n v="262.39999999999998"/>
    <n v="651.20000000000005"/>
    <n v="129.80000000000001"/>
    <n v="117.4"/>
    <n v="126.5"/>
    <n v="137.19999999999999"/>
  </r>
  <r>
    <x v="2"/>
    <x v="5"/>
    <x v="1"/>
    <x v="63"/>
    <x v="119"/>
    <n v="143.5"/>
    <n v="140.30000000000001"/>
    <n v="140.9"/>
    <n v="120.4"/>
    <n v="142.9"/>
    <n v="140.5"/>
    <n v="125.8"/>
    <n v="117.1"/>
    <n v="137.30000000000001"/>
    <n v="128.6"/>
    <n v="149.6"/>
    <n v="137.6"/>
    <n v="154.9"/>
    <n v="143.80000000000001"/>
    <n v="135.6"/>
    <n v="142.6"/>
    <n v="141.30000000000001"/>
    <n v="141.30000000000001"/>
    <n v="136.69999999999999"/>
    <n v="135.19999999999999"/>
    <n v="133.80000000000001"/>
    <n v="120.2"/>
    <n v="129.9"/>
    <n v="139"/>
    <n v="127.7"/>
    <n v="129.6"/>
    <n v="136.4"/>
    <n v="1760.3999999999996"/>
    <n v="154.9"/>
    <n v="279.39999999999998"/>
    <n v="670.5"/>
    <n v="133.80000000000001"/>
    <n v="120.2"/>
    <n v="129.9"/>
    <n v="139"/>
  </r>
  <r>
    <x v="0"/>
    <x v="5"/>
    <x v="2"/>
    <x v="64"/>
    <x v="130"/>
    <n v="143.80000000000001"/>
    <n v="140"/>
    <n v="142"/>
    <n v="123.2"/>
    <n v="152.9"/>
    <n v="138"/>
    <n v="129.30000000000001"/>
    <n v="117.1"/>
    <n v="136.30000000000001"/>
    <n v="131.19999999999999"/>
    <n v="152.80000000000001"/>
    <n v="138.6"/>
    <n v="155.1"/>
    <n v="149.19999999999999"/>
    <n v="143"/>
    <n v="148.30000000000001"/>
    <s v="NA"/>
    <n v="142"/>
    <n v="142.6"/>
    <n v="139.9"/>
    <n v="136.69999999999999"/>
    <n v="124.6"/>
    <n v="135.1"/>
    <n v="142.69999999999999"/>
    <n v="129.30000000000001"/>
    <n v="133.30000000000001"/>
    <n v="138.69999999999999"/>
    <n v="1781.9999999999998"/>
    <n v="155.1"/>
    <n v="292.2"/>
    <n v="687.09999999999991"/>
    <n v="136.69999999999999"/>
    <n v="124.6"/>
    <n v="135.1"/>
    <n v="142.69999999999999"/>
  </r>
  <r>
    <x v="1"/>
    <x v="5"/>
    <x v="2"/>
    <x v="64"/>
    <x v="131"/>
    <n v="143.1"/>
    <n v="135.5"/>
    <n v="139.9"/>
    <n v="116.5"/>
    <n v="138.5"/>
    <n v="128"/>
    <n v="115.5"/>
    <n v="114.2"/>
    <n v="140.69999999999999"/>
    <n v="126.2"/>
    <n v="147.6"/>
    <n v="134.80000000000001"/>
    <n v="159.69999999999999"/>
    <n v="136.69999999999999"/>
    <n v="126.7"/>
    <n v="135.19999999999999"/>
    <n v="142"/>
    <n v="142"/>
    <n v="126.4"/>
    <n v="130.80000000000001"/>
    <n v="130.5"/>
    <n v="117.8"/>
    <n v="126.8"/>
    <n v="137.80000000000001"/>
    <n v="126.7"/>
    <n v="127.1"/>
    <n v="134"/>
    <n v="1715.5"/>
    <n v="159.69999999999999"/>
    <n v="263.39999999999998"/>
    <n v="653"/>
    <n v="130.5"/>
    <n v="117.8"/>
    <n v="126.8"/>
    <n v="137.80000000000001"/>
  </r>
  <r>
    <x v="2"/>
    <x v="5"/>
    <x v="2"/>
    <x v="64"/>
    <x v="132"/>
    <n v="143.6"/>
    <n v="138.30000000000001"/>
    <n v="141.19999999999999"/>
    <n v="120.7"/>
    <n v="146.19999999999999"/>
    <n v="134.6"/>
    <n v="124.6"/>
    <n v="116.1"/>
    <n v="137.80000000000001"/>
    <n v="129.1"/>
    <n v="150.4"/>
    <n v="137.19999999999999"/>
    <n v="156.30000000000001"/>
    <n v="144.30000000000001"/>
    <n v="136.19999999999999"/>
    <n v="143.1"/>
    <n v="142"/>
    <n v="142"/>
    <n v="136.5"/>
    <n v="135.6"/>
    <n v="134.30000000000001"/>
    <n v="121"/>
    <n v="130.4"/>
    <n v="139.80000000000001"/>
    <n v="128.19999999999999"/>
    <n v="130.30000000000001"/>
    <n v="136.5"/>
    <n v="1756"/>
    <n v="156.30000000000001"/>
    <n v="280.5"/>
    <n v="672.59999999999991"/>
    <n v="134.30000000000001"/>
    <n v="121"/>
    <n v="130.4"/>
    <n v="139.80000000000001"/>
  </r>
  <r>
    <x v="0"/>
    <x v="5"/>
    <x v="3"/>
    <x v="65"/>
    <x v="133"/>
    <n v="144.5"/>
    <n v="135.9"/>
    <n v="142.4"/>
    <n v="123.5"/>
    <n v="156.4"/>
    <n v="135.1"/>
    <n v="128.4"/>
    <n v="115.2"/>
    <n v="137.19999999999999"/>
    <n v="131.9"/>
    <n v="153.80000000000001"/>
    <n v="138.6"/>
    <n v="156.1"/>
    <n v="150.1"/>
    <n v="143.30000000000001"/>
    <n v="149.1"/>
    <s v="NA"/>
    <n v="142.9"/>
    <n v="143.80000000000001"/>
    <n v="140.9"/>
    <n v="137.6"/>
    <n v="125.3"/>
    <n v="136"/>
    <n v="143.69999999999999"/>
    <n v="130.4"/>
    <n v="134.19999999999999"/>
    <n v="139.1"/>
    <n v="1780"/>
    <n v="156.1"/>
    <n v="293.39999999999998"/>
    <n v="692.2"/>
    <n v="137.6"/>
    <n v="125.3"/>
    <n v="136"/>
    <n v="143.69999999999999"/>
  </r>
  <r>
    <x v="1"/>
    <x v="5"/>
    <x v="3"/>
    <x v="65"/>
    <x v="131"/>
    <n v="144.30000000000001"/>
    <n v="130.80000000000001"/>
    <n v="140.30000000000001"/>
    <n v="116.6"/>
    <n v="150.1"/>
    <n v="127.6"/>
    <n v="114"/>
    <n v="110.6"/>
    <n v="140.19999999999999"/>
    <n v="126.5"/>
    <n v="148.30000000000001"/>
    <n v="135.69999999999999"/>
    <n v="159.19999999999999"/>
    <n v="137.80000000000001"/>
    <n v="127.4"/>
    <n v="136.19999999999999"/>
    <n v="142.9"/>
    <n v="142.9"/>
    <n v="124.6"/>
    <n v="131.80000000000001"/>
    <n v="131.30000000000001"/>
    <n v="118.9"/>
    <n v="127.6"/>
    <n v="139.69999999999999"/>
    <n v="127.6"/>
    <n v="128.19999999999999"/>
    <n v="134.80000000000001"/>
    <n v="1720.0000000000002"/>
    <n v="159.19999999999999"/>
    <n v="265.20000000000005"/>
    <n v="655.09999999999991"/>
    <n v="131.30000000000001"/>
    <n v="118.9"/>
    <n v="127.6"/>
    <n v="139.69999999999999"/>
  </r>
  <r>
    <x v="2"/>
    <x v="5"/>
    <x v="3"/>
    <x v="65"/>
    <x v="124"/>
    <n v="144.4"/>
    <n v="133.9"/>
    <n v="141.6"/>
    <n v="121"/>
    <n v="153.5"/>
    <n v="132.6"/>
    <n v="123.5"/>
    <n v="113.7"/>
    <n v="138.19999999999999"/>
    <n v="129.6"/>
    <n v="151.19999999999999"/>
    <n v="137.5"/>
    <n v="156.9"/>
    <n v="145.30000000000001"/>
    <n v="136.69999999999999"/>
    <n v="144"/>
    <n v="142.9"/>
    <n v="142.9"/>
    <n v="136.5"/>
    <n v="136.6"/>
    <n v="135.19999999999999"/>
    <n v="121.9"/>
    <n v="131.30000000000001"/>
    <n v="141.4"/>
    <n v="129.19999999999999"/>
    <n v="131.30000000000001"/>
    <n v="137.1"/>
    <n v="1757.1000000000001"/>
    <n v="156.9"/>
    <n v="282"/>
    <n v="676.5"/>
    <n v="135.19999999999999"/>
    <n v="121.9"/>
    <n v="131.30000000000001"/>
    <n v="141.4"/>
  </r>
  <r>
    <x v="0"/>
    <x v="5"/>
    <x v="4"/>
    <x v="66"/>
    <x v="134"/>
    <n v="145.69999999999999"/>
    <n v="135.5"/>
    <n v="142.9"/>
    <n v="123.6"/>
    <n v="157.5"/>
    <n v="137.80000000000001"/>
    <n v="127.2"/>
    <n v="111.8"/>
    <n v="137.4"/>
    <n v="132.19999999999999"/>
    <n v="154.30000000000001"/>
    <n v="139.1"/>
    <n v="157"/>
    <n v="150.80000000000001"/>
    <n v="144.1"/>
    <n v="149.80000000000001"/>
    <s v="NA"/>
    <n v="143.19999999999999"/>
    <n v="144.30000000000001"/>
    <n v="141.80000000000001"/>
    <n v="138.4"/>
    <n v="126.4"/>
    <n v="136.80000000000001"/>
    <n v="144.4"/>
    <n v="131.19999999999999"/>
    <n v="135.1"/>
    <n v="139.80000000000001"/>
    <n v="1782.4"/>
    <n v="157"/>
    <n v="294.89999999999998"/>
    <n v="695.6"/>
    <n v="138.4"/>
    <n v="126.4"/>
    <n v="136.80000000000001"/>
    <n v="144.4"/>
  </r>
  <r>
    <x v="1"/>
    <x v="5"/>
    <x v="4"/>
    <x v="66"/>
    <x v="131"/>
    <n v="148.19999999999999"/>
    <n v="130.5"/>
    <n v="140.69999999999999"/>
    <n v="116.4"/>
    <n v="151.30000000000001"/>
    <n v="131.4"/>
    <n v="112.8"/>
    <n v="105.3"/>
    <n v="139.6"/>
    <n v="126.6"/>
    <n v="148.69999999999999"/>
    <n v="136.4"/>
    <n v="160.30000000000001"/>
    <n v="138.6"/>
    <n v="127.9"/>
    <n v="137"/>
    <n v="143.19999999999999"/>
    <n v="143.19999999999999"/>
    <n v="124.7"/>
    <n v="132.5"/>
    <n v="132"/>
    <n v="119.8"/>
    <n v="128"/>
    <n v="140.4"/>
    <n v="128.1"/>
    <n v="128.9"/>
    <n v="135.4"/>
    <n v="1722.8999999999999"/>
    <n v="160.30000000000001"/>
    <n v="266.5"/>
    <n v="657.4"/>
    <n v="132"/>
    <n v="119.8"/>
    <n v="128"/>
    <n v="140.4"/>
  </r>
  <r>
    <x v="2"/>
    <x v="5"/>
    <x v="4"/>
    <x v="66"/>
    <x v="127"/>
    <n v="146.6"/>
    <n v="133.6"/>
    <n v="142.1"/>
    <n v="121"/>
    <n v="154.6"/>
    <n v="135.6"/>
    <n v="122.3"/>
    <n v="109.6"/>
    <n v="138.1"/>
    <n v="129.9"/>
    <n v="151.69999999999999"/>
    <n v="138.1"/>
    <n v="157.9"/>
    <n v="146"/>
    <n v="137.4"/>
    <n v="144.69999999999999"/>
    <n v="143.19999999999999"/>
    <n v="143.19999999999999"/>
    <n v="136.9"/>
    <n v="137.4"/>
    <n v="136"/>
    <n v="122.9"/>
    <n v="131.80000000000001"/>
    <n v="142.1"/>
    <n v="129.9"/>
    <n v="132.1"/>
    <n v="137.80000000000001"/>
    <n v="1759.8"/>
    <n v="157.9"/>
    <n v="283.39999999999998"/>
    <n v="679.5"/>
    <n v="136"/>
    <n v="122.9"/>
    <n v="131.80000000000001"/>
    <n v="142.1"/>
  </r>
  <r>
    <x v="0"/>
    <x v="5"/>
    <x v="5"/>
    <x v="67"/>
    <x v="135"/>
    <n v="148.1"/>
    <n v="136.69999999999999"/>
    <n v="143.19999999999999"/>
    <n v="124"/>
    <n v="154.1"/>
    <n v="143.5"/>
    <n v="126"/>
    <n v="112.4"/>
    <n v="137.6"/>
    <n v="132.80000000000001"/>
    <n v="154.30000000000001"/>
    <n v="140"/>
    <n v="157.30000000000001"/>
    <n v="151.30000000000001"/>
    <n v="144.69999999999999"/>
    <n v="150.30000000000001"/>
    <s v="NA"/>
    <n v="142.5"/>
    <n v="145.1"/>
    <n v="142.19999999999999"/>
    <n v="138.4"/>
    <n v="127.4"/>
    <n v="137.80000000000001"/>
    <n v="145.1"/>
    <n v="131.4"/>
    <n v="135.6"/>
    <n v="140.5"/>
    <n v="1790.2999999999997"/>
    <n v="157.30000000000001"/>
    <n v="296"/>
    <n v="696.80000000000007"/>
    <n v="138.4"/>
    <n v="127.4"/>
    <n v="137.80000000000001"/>
    <n v="145.1"/>
  </r>
  <r>
    <x v="1"/>
    <x v="5"/>
    <x v="5"/>
    <x v="67"/>
    <x v="121"/>
    <n v="149.69999999999999"/>
    <n v="133.9"/>
    <n v="140.80000000000001"/>
    <n v="116.6"/>
    <n v="152.19999999999999"/>
    <n v="144"/>
    <n v="112.3"/>
    <n v="108.4"/>
    <n v="140"/>
    <n v="126.7"/>
    <n v="149"/>
    <n v="138.4"/>
    <n v="161"/>
    <n v="138.9"/>
    <n v="128.69999999999999"/>
    <n v="137.4"/>
    <n v="142.5"/>
    <n v="142.5"/>
    <n v="126.5"/>
    <n v="133.1"/>
    <n v="132.6"/>
    <n v="120.4"/>
    <n v="128.5"/>
    <n v="141.19999999999999"/>
    <n v="128.19999999999999"/>
    <n v="129.5"/>
    <n v="136.19999999999999"/>
    <n v="1747.3000000000002"/>
    <n v="161"/>
    <n v="267.60000000000002"/>
    <n v="659.8"/>
    <n v="132.6"/>
    <n v="120.4"/>
    <n v="128.5"/>
    <n v="141.19999999999999"/>
  </r>
  <r>
    <x v="2"/>
    <x v="5"/>
    <x v="5"/>
    <x v="67"/>
    <x v="136"/>
    <n v="148.69999999999999"/>
    <n v="135.6"/>
    <n v="142.30000000000001"/>
    <n v="121.3"/>
    <n v="153.19999999999999"/>
    <n v="143.69999999999999"/>
    <n v="121.4"/>
    <n v="111.1"/>
    <n v="138.4"/>
    <n v="130.30000000000001"/>
    <n v="151.80000000000001"/>
    <n v="139.4"/>
    <n v="158.30000000000001"/>
    <n v="146.4"/>
    <n v="138.1"/>
    <n v="145.19999999999999"/>
    <n v="142.5"/>
    <n v="142.5"/>
    <n v="138.1"/>
    <n v="137.9"/>
    <n v="136.19999999999999"/>
    <n v="123.7"/>
    <n v="132.6"/>
    <n v="142.80000000000001"/>
    <n v="130.1"/>
    <n v="132.6"/>
    <n v="138.5"/>
    <n v="1774.1000000000001"/>
    <n v="158.30000000000001"/>
    <n v="284.5"/>
    <n v="681.2"/>
    <n v="136.19999999999999"/>
    <n v="123.7"/>
    <n v="132.6"/>
    <n v="142.80000000000001"/>
  </r>
  <r>
    <x v="0"/>
    <x v="5"/>
    <x v="6"/>
    <x v="68"/>
    <x v="137"/>
    <n v="149.30000000000001"/>
    <n v="139.30000000000001"/>
    <n v="143.4"/>
    <n v="124.1"/>
    <n v="153.30000000000001"/>
    <n v="154.19999999999999"/>
    <n v="126.4"/>
    <n v="114.3"/>
    <n v="138.19999999999999"/>
    <n v="132.80000000000001"/>
    <n v="154.80000000000001"/>
    <n v="142"/>
    <n v="156.1"/>
    <n v="151.5"/>
    <n v="145.1"/>
    <n v="150.6"/>
    <s v="NA"/>
    <n v="143.6"/>
    <n v="146.80000000000001"/>
    <n v="143.1"/>
    <n v="139"/>
    <n v="127.5"/>
    <n v="138.4"/>
    <n v="145.80000000000001"/>
    <n v="131.4"/>
    <n v="136"/>
    <n v="141.80000000000001"/>
    <n v="1810.5000000000002"/>
    <n v="156.1"/>
    <n v="296.60000000000002"/>
    <n v="700.9"/>
    <n v="139"/>
    <n v="127.5"/>
    <n v="138.4"/>
    <n v="145.80000000000001"/>
  </r>
  <r>
    <x v="1"/>
    <x v="5"/>
    <x v="6"/>
    <x v="68"/>
    <x v="138"/>
    <n v="148.6"/>
    <n v="139.1"/>
    <n v="141"/>
    <n v="116.7"/>
    <n v="149.69999999999999"/>
    <n v="159.19999999999999"/>
    <n v="112.6"/>
    <n v="111.8"/>
    <n v="140.30000000000001"/>
    <n v="126.8"/>
    <n v="149.4"/>
    <n v="140.30000000000001"/>
    <n v="161.4"/>
    <n v="139.6"/>
    <n v="128.9"/>
    <n v="137.9"/>
    <n v="143.6"/>
    <n v="143.6"/>
    <n v="128.1"/>
    <n v="133.6"/>
    <n v="133.6"/>
    <n v="120.1"/>
    <n v="129"/>
    <n v="144"/>
    <n v="128.19999999999999"/>
    <n v="130.19999999999999"/>
    <n v="137.5"/>
    <n v="1771.1"/>
    <n v="161.4"/>
    <n v="268.5"/>
    <n v="663.7"/>
    <n v="133.6"/>
    <n v="120.1"/>
    <n v="129"/>
    <n v="144"/>
  </r>
  <r>
    <x v="2"/>
    <x v="5"/>
    <x v="6"/>
    <x v="68"/>
    <x v="139"/>
    <n v="149.1"/>
    <n v="139.19999999999999"/>
    <n v="142.5"/>
    <n v="121.4"/>
    <n v="151.6"/>
    <n v="155.9"/>
    <n v="121.7"/>
    <n v="113.5"/>
    <n v="138.9"/>
    <n v="130.30000000000001"/>
    <n v="152.30000000000001"/>
    <n v="141.4"/>
    <n v="157.5"/>
    <n v="146.80000000000001"/>
    <n v="138.4"/>
    <n v="145.6"/>
    <n v="143.6"/>
    <n v="143.6"/>
    <n v="139.69999999999999"/>
    <n v="138.6"/>
    <n v="137"/>
    <n v="123.6"/>
    <n v="133.1"/>
    <n v="144.69999999999999"/>
    <n v="130.1"/>
    <n v="133.19999999999999"/>
    <n v="139.80000000000001"/>
    <n v="1795.3"/>
    <n v="157.5"/>
    <n v="285.20000000000005"/>
    <n v="685.2"/>
    <n v="137"/>
    <n v="123.6"/>
    <n v="133.1"/>
    <n v="144.69999999999999"/>
  </r>
  <r>
    <x v="0"/>
    <x v="5"/>
    <x v="7"/>
    <x v="69"/>
    <x v="140"/>
    <n v="148.80000000000001"/>
    <n v="139.1"/>
    <n v="143.5"/>
    <n v="125"/>
    <n v="154.4"/>
    <n v="156.30000000000001"/>
    <n v="126.8"/>
    <n v="115.4"/>
    <n v="138.6"/>
    <n v="133.80000000000001"/>
    <n v="155.19999999999999"/>
    <n v="142.69999999999999"/>
    <n v="156.4"/>
    <n v="152.1"/>
    <n v="145.80000000000001"/>
    <n v="151.30000000000001"/>
    <s v="NA"/>
    <n v="144.6"/>
    <n v="147.69999999999999"/>
    <n v="143.80000000000001"/>
    <n v="139.4"/>
    <n v="128.30000000000001"/>
    <n v="138.6"/>
    <n v="146.9"/>
    <n v="131.30000000000001"/>
    <n v="136.6"/>
    <n v="142.5"/>
    <n v="1818.8"/>
    <n v="156.4"/>
    <n v="297.89999999999998"/>
    <n v="704"/>
    <n v="139.4"/>
    <n v="128.30000000000001"/>
    <n v="138.6"/>
    <n v="146.9"/>
  </r>
  <r>
    <x v="1"/>
    <x v="5"/>
    <x v="7"/>
    <x v="69"/>
    <x v="141"/>
    <n v="146.4"/>
    <n v="136.6"/>
    <n v="141.19999999999999"/>
    <n v="117.4"/>
    <n v="146.30000000000001"/>
    <n v="157.30000000000001"/>
    <n v="113.6"/>
    <n v="113.3"/>
    <n v="141.1"/>
    <n v="127.4"/>
    <n v="150.4"/>
    <n v="140.1"/>
    <n v="162.1"/>
    <n v="140"/>
    <n v="129"/>
    <n v="138.30000000000001"/>
    <n v="144.6"/>
    <n v="144.6"/>
    <n v="129.80000000000001"/>
    <n v="134.4"/>
    <n v="134.9"/>
    <n v="120.7"/>
    <n v="129.80000000000001"/>
    <n v="145.30000000000001"/>
    <n v="128.30000000000001"/>
    <n v="131"/>
    <n v="138"/>
    <n v="1767.6"/>
    <n v="162.1"/>
    <n v="269"/>
    <n v="668.09999999999991"/>
    <n v="134.9"/>
    <n v="120.7"/>
    <n v="129.80000000000001"/>
    <n v="145.30000000000001"/>
  </r>
  <r>
    <x v="2"/>
    <x v="5"/>
    <x v="7"/>
    <x v="69"/>
    <x v="142"/>
    <n v="148"/>
    <n v="138.1"/>
    <n v="142.6"/>
    <n v="122.2"/>
    <n v="150.6"/>
    <n v="156.6"/>
    <n v="122.4"/>
    <n v="114.7"/>
    <n v="139.4"/>
    <n v="131.1"/>
    <n v="153"/>
    <n v="141.69999999999999"/>
    <n v="157.9"/>
    <n v="147.30000000000001"/>
    <n v="138.80000000000001"/>
    <n v="146.1"/>
    <n v="144.6"/>
    <n v="144.6"/>
    <n v="140.9"/>
    <n v="139.4"/>
    <n v="137.69999999999999"/>
    <n v="124.3"/>
    <n v="133.6"/>
    <n v="146"/>
    <n v="130.1"/>
    <n v="133.9"/>
    <n v="140.4"/>
    <n v="1798.7000000000003"/>
    <n v="157.9"/>
    <n v="286.10000000000002"/>
    <n v="688.9"/>
    <n v="137.69999999999999"/>
    <n v="124.3"/>
    <n v="133.6"/>
    <n v="146"/>
  </r>
  <r>
    <x v="0"/>
    <x v="5"/>
    <x v="8"/>
    <x v="70"/>
    <x v="143"/>
    <n v="147.19999999999999"/>
    <n v="136.6"/>
    <n v="143.69999999999999"/>
    <n v="124.6"/>
    <n v="150.1"/>
    <n v="149.4"/>
    <n v="125.4"/>
    <n v="114.4"/>
    <n v="138.69999999999999"/>
    <n v="133.1"/>
    <n v="155.9"/>
    <n v="141.30000000000001"/>
    <n v="157.69999999999999"/>
    <n v="152.1"/>
    <n v="146.1"/>
    <n v="151.30000000000001"/>
    <s v="NA"/>
    <n v="145.30000000000001"/>
    <n v="149"/>
    <n v="144"/>
    <n v="140"/>
    <n v="129.9"/>
    <n v="140"/>
    <n v="147.6"/>
    <n v="132"/>
    <n v="137.4"/>
    <n v="142.1"/>
    <n v="1799.8000000000002"/>
    <n v="157.69999999999999"/>
    <n v="298.2"/>
    <n v="707.69999999999993"/>
    <n v="140"/>
    <n v="129.9"/>
    <n v="140"/>
    <n v="147.6"/>
  </r>
  <r>
    <x v="1"/>
    <x v="5"/>
    <x v="8"/>
    <x v="70"/>
    <x v="144"/>
    <n v="143.1"/>
    <n v="132.80000000000001"/>
    <n v="141.5"/>
    <n v="117.8"/>
    <n v="140"/>
    <n v="151.30000000000001"/>
    <n v="113.5"/>
    <n v="112.3"/>
    <n v="141.19999999999999"/>
    <n v="127.7"/>
    <n v="151.30000000000001"/>
    <n v="138.9"/>
    <n v="163.30000000000001"/>
    <n v="140.80000000000001"/>
    <n v="129.30000000000001"/>
    <n v="139.1"/>
    <n v="145.30000000000001"/>
    <n v="145.30000000000001"/>
    <n v="131.19999999999999"/>
    <n v="134.9"/>
    <n v="135.69999999999999"/>
    <n v="122.5"/>
    <n v="130.19999999999999"/>
    <n v="145.19999999999999"/>
    <n v="129.30000000000001"/>
    <n v="131.9"/>
    <n v="138.1"/>
    <n v="1748.4"/>
    <n v="163.30000000000001"/>
    <n v="270.10000000000002"/>
    <n v="672.6"/>
    <n v="135.69999999999999"/>
    <n v="122.5"/>
    <n v="130.19999999999999"/>
    <n v="145.19999999999999"/>
  </r>
  <r>
    <x v="2"/>
    <x v="5"/>
    <x v="8"/>
    <x v="70"/>
    <x v="145"/>
    <n v="145.80000000000001"/>
    <n v="135.1"/>
    <n v="142.9"/>
    <n v="122.1"/>
    <n v="145.4"/>
    <n v="150"/>
    <n v="121.4"/>
    <n v="113.7"/>
    <n v="139.5"/>
    <n v="130.80000000000001"/>
    <n v="153.80000000000001"/>
    <n v="140.4"/>
    <n v="159.19999999999999"/>
    <n v="147.69999999999999"/>
    <n v="139.1"/>
    <n v="146.5"/>
    <n v="145.30000000000001"/>
    <n v="145.30000000000001"/>
    <n v="142.30000000000001"/>
    <n v="139.69999999999999"/>
    <n v="138.4"/>
    <n v="126"/>
    <n v="134.5"/>
    <n v="146.19999999999999"/>
    <n v="130.9"/>
    <n v="134.69999999999999"/>
    <n v="140.19999999999999"/>
    <n v="1779.5"/>
    <n v="159.19999999999999"/>
    <n v="286.79999999999995"/>
    <n v="692.90000000000009"/>
    <n v="138.4"/>
    <n v="126"/>
    <n v="134.5"/>
    <n v="146.19999999999999"/>
  </r>
  <r>
    <x v="0"/>
    <x v="5"/>
    <x v="9"/>
    <x v="71"/>
    <x v="146"/>
    <n v="147.6"/>
    <n v="134.6"/>
    <n v="141.9"/>
    <n v="123.5"/>
    <n v="144.5"/>
    <n v="147.6"/>
    <n v="121.4"/>
    <n v="112.3"/>
    <n v="139.5"/>
    <n v="134.6"/>
    <n v="155.19999999999999"/>
    <n v="140.19999999999999"/>
    <n v="159.6"/>
    <n v="150.69999999999999"/>
    <n v="144.5"/>
    <n v="149.80000000000001"/>
    <s v="NA"/>
    <n v="146.30000000000001"/>
    <n v="149.69999999999999"/>
    <n v="147.5"/>
    <n v="144.80000000000001"/>
    <n v="130.80000000000001"/>
    <n v="140.1"/>
    <n v="148"/>
    <n v="134.4"/>
    <n v="139.80000000000001"/>
    <n v="142.19999999999999"/>
    <n v="1782.2"/>
    <n v="159.6"/>
    <n v="295.2"/>
    <n v="717.7"/>
    <n v="144.80000000000001"/>
    <n v="130.80000000000001"/>
    <n v="140.1"/>
    <n v="148"/>
  </r>
  <r>
    <x v="1"/>
    <x v="5"/>
    <x v="9"/>
    <x v="71"/>
    <x v="135"/>
    <n v="144.9"/>
    <n v="133.5"/>
    <n v="141.5"/>
    <n v="118"/>
    <n v="139.5"/>
    <n v="153"/>
    <n v="113.2"/>
    <n v="112.8"/>
    <n v="141.1"/>
    <n v="127.6"/>
    <n v="152"/>
    <n v="139.4"/>
    <n v="164"/>
    <n v="141.5"/>
    <n v="129.80000000000001"/>
    <n v="139.69999999999999"/>
    <n v="146.30000000000001"/>
    <n v="146.30000000000001"/>
    <n v="133.4"/>
    <n v="135.1"/>
    <n v="136.19999999999999"/>
    <n v="123.3"/>
    <n v="130.69999999999999"/>
    <n v="145.5"/>
    <n v="130.4"/>
    <n v="132.5"/>
    <n v="138.9"/>
    <n v="1754.1"/>
    <n v="164"/>
    <n v="271.3"/>
    <n v="677.7"/>
    <n v="136.19999999999999"/>
    <n v="123.3"/>
    <n v="130.69999999999999"/>
    <n v="145.5"/>
  </r>
  <r>
    <x v="2"/>
    <x v="5"/>
    <x v="9"/>
    <x v="71"/>
    <x v="134"/>
    <n v="149.5"/>
    <n v="137.30000000000001"/>
    <n v="141.9"/>
    <n v="121.1"/>
    <n v="142.5"/>
    <n v="146.69999999999999"/>
    <n v="119.1"/>
    <n v="111.9"/>
    <n v="141"/>
    <n v="133.6"/>
    <n v="154.5"/>
    <n v="139.69999999999999"/>
    <n v="162.6"/>
    <n v="148"/>
    <n v="139.19999999999999"/>
    <n v="146.80000000000001"/>
    <n v="146.9"/>
    <n v="146.9"/>
    <n v="145.30000000000001"/>
    <n v="142.19999999999999"/>
    <n v="142.1"/>
    <n v="125.5"/>
    <n v="136.5"/>
    <n v="147.80000000000001"/>
    <n v="132"/>
    <n v="136.30000000000001"/>
    <n v="140.80000000000001"/>
    <n v="1776.2"/>
    <n v="162.6"/>
    <n v="287.2"/>
    <n v="702.7"/>
    <n v="142.1"/>
    <n v="125.5"/>
    <n v="136.5"/>
    <n v="147.80000000000001"/>
  </r>
  <r>
    <x v="0"/>
    <x v="5"/>
    <x v="11"/>
    <x v="72"/>
    <x v="133"/>
    <n v="150.80000000000001"/>
    <n v="136.69999999999999"/>
    <n v="141.9"/>
    <n v="122.8"/>
    <n v="143.9"/>
    <n v="147.5"/>
    <n v="121"/>
    <n v="111.6"/>
    <n v="140.6"/>
    <n v="137.5"/>
    <n v="156.1"/>
    <n v="140"/>
    <n v="161.9"/>
    <n v="151.69999999999999"/>
    <n v="145.5"/>
    <n v="150.80000000000001"/>
    <s v="NA"/>
    <n v="146.9"/>
    <n v="150.30000000000001"/>
    <n v="148"/>
    <n v="145.4"/>
    <n v="130.30000000000001"/>
    <n v="143.1"/>
    <n v="150.19999999999999"/>
    <n v="133.1"/>
    <n v="140.1"/>
    <n v="142.4"/>
    <n v="1787.4999999999995"/>
    <n v="161.9"/>
    <n v="297.2"/>
    <n v="718.40000000000009"/>
    <n v="145.4"/>
    <n v="130.30000000000001"/>
    <n v="143.1"/>
    <n v="150.19999999999999"/>
  </r>
  <r>
    <x v="1"/>
    <x v="5"/>
    <x v="11"/>
    <x v="72"/>
    <x v="147"/>
    <n v="146.30000000000001"/>
    <n v="137.80000000000001"/>
    <n v="141.6"/>
    <n v="118.1"/>
    <n v="141.5"/>
    <n v="145.19999999999999"/>
    <n v="115.3"/>
    <n v="112.5"/>
    <n v="141.4"/>
    <n v="128"/>
    <n v="152.6"/>
    <n v="139.1"/>
    <n v="164.4"/>
    <n v="142.4"/>
    <n v="130.19999999999999"/>
    <n v="140.5"/>
    <n v="146.9"/>
    <n v="146.9"/>
    <n v="136.69999999999999"/>
    <n v="135.80000000000001"/>
    <n v="136.80000000000001"/>
    <n v="121.2"/>
    <n v="131.30000000000001"/>
    <n v="146.1"/>
    <n v="130.5"/>
    <n v="132.19999999999999"/>
    <n v="139"/>
    <n v="1757.4999999999998"/>
    <n v="164.4"/>
    <n v="272.60000000000002"/>
    <n v="682.10000000000014"/>
    <n v="136.80000000000001"/>
    <n v="121.2"/>
    <n v="131.30000000000001"/>
    <n v="146.1"/>
  </r>
  <r>
    <x v="2"/>
    <x v="5"/>
    <x v="11"/>
    <x v="72"/>
    <x v="134"/>
    <n v="149.19999999999999"/>
    <n v="137.1"/>
    <n v="141.80000000000001"/>
    <n v="121.1"/>
    <n v="142.80000000000001"/>
    <n v="146.69999999999999"/>
    <n v="119.1"/>
    <n v="111.9"/>
    <n v="140.9"/>
    <n v="133.5"/>
    <n v="154.5"/>
    <n v="139.69999999999999"/>
    <n v="162.6"/>
    <n v="148"/>
    <n v="139.1"/>
    <n v="146.69999999999999"/>
    <n v="146.9"/>
    <n v="146.9"/>
    <n v="145.1"/>
    <n v="142.19999999999999"/>
    <n v="142.1"/>
    <n v="125.5"/>
    <n v="136.5"/>
    <n v="147.80000000000001"/>
    <n v="132"/>
    <n v="136.30000000000001"/>
    <n v="140.80000000000001"/>
    <n v="1775.7000000000003"/>
    <n v="162.6"/>
    <n v="287.10000000000002"/>
    <n v="702.5"/>
    <n v="142.1"/>
    <n v="125.5"/>
    <n v="136.5"/>
    <n v="147.80000000000001"/>
  </r>
  <r>
    <x v="0"/>
    <x v="5"/>
    <x v="12"/>
    <x v="73"/>
    <x v="133"/>
    <n v="151.9"/>
    <n v="137.4"/>
    <n v="142.4"/>
    <n v="124.2"/>
    <n v="140.19999999999999"/>
    <n v="136.6"/>
    <n v="120.9"/>
    <n v="109.9"/>
    <n v="140.19999999999999"/>
    <n v="137.80000000000001"/>
    <n v="156"/>
    <n v="138.5"/>
    <n v="162.4"/>
    <n v="151.6"/>
    <n v="145.9"/>
    <n v="150.80000000000001"/>
    <s v="NA"/>
    <n v="146.5"/>
    <n v="149"/>
    <n v="149.5"/>
    <n v="149.6"/>
    <n v="128.9"/>
    <n v="143.30000000000001"/>
    <n v="155.1"/>
    <n v="133.19999999999999"/>
    <n v="141.6"/>
    <n v="141.9"/>
    <n v="1773.1000000000001"/>
    <n v="162.4"/>
    <n v="297.5"/>
    <n v="719.80000000000007"/>
    <n v="149.6"/>
    <n v="128.9"/>
    <n v="143.30000000000001"/>
    <n v="155.1"/>
  </r>
  <r>
    <x v="1"/>
    <x v="5"/>
    <x v="12"/>
    <x v="73"/>
    <x v="148"/>
    <n v="147.80000000000001"/>
    <n v="141.1"/>
    <n v="141.6"/>
    <n v="118.1"/>
    <n v="138.5"/>
    <n v="132.4"/>
    <n v="117.5"/>
    <n v="111"/>
    <n v="141.5"/>
    <n v="128.1"/>
    <n v="152.9"/>
    <n v="137.6"/>
    <n v="164.6"/>
    <n v="142.69999999999999"/>
    <n v="130.30000000000001"/>
    <n v="140.80000000000001"/>
    <n v="146.5"/>
    <n v="146.5"/>
    <n v="132.4"/>
    <n v="136.19999999999999"/>
    <n v="137.30000000000001"/>
    <n v="118.8"/>
    <n v="131.69999999999999"/>
    <n v="146.5"/>
    <n v="130.80000000000001"/>
    <n v="131.69999999999999"/>
    <n v="138"/>
    <n v="1746.6"/>
    <n v="164.6"/>
    <n v="273"/>
    <n v="677.59999999999991"/>
    <n v="137.30000000000001"/>
    <n v="118.8"/>
    <n v="131.69999999999999"/>
    <n v="146.5"/>
  </r>
  <r>
    <x v="2"/>
    <x v="5"/>
    <x v="12"/>
    <x v="73"/>
    <x v="139"/>
    <n v="150.5"/>
    <n v="138.80000000000001"/>
    <n v="142.1"/>
    <n v="122"/>
    <n v="139.4"/>
    <n v="135.19999999999999"/>
    <n v="119.8"/>
    <n v="110.3"/>
    <n v="140.6"/>
    <n v="133.80000000000001"/>
    <n v="154.6"/>
    <n v="138.19999999999999"/>
    <n v="163"/>
    <n v="148.1"/>
    <n v="139.4"/>
    <n v="146.80000000000001"/>
    <n v="146.5"/>
    <n v="146.5"/>
    <n v="142.69999999999999"/>
    <n v="143.19999999999999"/>
    <n v="144.9"/>
    <n v="123.6"/>
    <n v="136.80000000000001"/>
    <n v="150.1"/>
    <n v="132.19999999999999"/>
    <n v="136.80000000000001"/>
    <n v="140.1"/>
    <n v="1762.7999999999997"/>
    <n v="163"/>
    <n v="287.5"/>
    <n v="701.39999999999986"/>
    <n v="144.9"/>
    <n v="123.6"/>
    <n v="136.80000000000001"/>
    <n v="150.1"/>
  </r>
  <r>
    <x v="0"/>
    <x v="6"/>
    <x v="0"/>
    <x v="74"/>
    <x v="127"/>
    <n v="152.5"/>
    <n v="138.19999999999999"/>
    <n v="142.4"/>
    <n v="123.9"/>
    <n v="135.5"/>
    <n v="131.69999999999999"/>
    <n v="121.3"/>
    <n v="108.4"/>
    <n v="138.9"/>
    <n v="137"/>
    <n v="155.80000000000001"/>
    <n v="137.4"/>
    <n v="162.69999999999999"/>
    <n v="150.6"/>
    <n v="145.1"/>
    <n v="149.9"/>
    <s v="NA"/>
    <n v="147.69999999999999"/>
    <n v="146.19999999999999"/>
    <n v="150.1"/>
    <n v="149.6"/>
    <n v="128.6"/>
    <n v="142.9"/>
    <n v="155.19999999999999"/>
    <n v="133.5"/>
    <n v="141.69999999999999"/>
    <n v="141"/>
    <n v="1759.6000000000001"/>
    <n v="162.69999999999999"/>
    <n v="295.7"/>
    <n v="719.2"/>
    <n v="149.6"/>
    <n v="128.6"/>
    <n v="142.9"/>
    <n v="155.19999999999999"/>
  </r>
  <r>
    <x v="1"/>
    <x v="6"/>
    <x v="0"/>
    <x v="74"/>
    <x v="142"/>
    <n v="149.4"/>
    <n v="143.5"/>
    <n v="141.69999999999999"/>
    <n v="118.1"/>
    <n v="135.19999999999999"/>
    <n v="130.5"/>
    <n v="118.2"/>
    <n v="110.4"/>
    <n v="140.4"/>
    <n v="128.1"/>
    <n v="153.19999999999999"/>
    <n v="137.30000000000001"/>
    <n v="164.7"/>
    <n v="143"/>
    <n v="130.4"/>
    <n v="141.1"/>
    <n v="147.69999999999999"/>
    <n v="147.69999999999999"/>
    <n v="128.6"/>
    <n v="136.30000000000001"/>
    <n v="137.80000000000001"/>
    <n v="118.6"/>
    <n v="131.9"/>
    <n v="146.6"/>
    <n v="131.69999999999999"/>
    <n v="131.80000000000001"/>
    <n v="138"/>
    <n v="1744.3000000000002"/>
    <n v="164.7"/>
    <n v="273.39999999999998"/>
    <n v="676.09999999999991"/>
    <n v="137.80000000000001"/>
    <n v="118.6"/>
    <n v="131.9"/>
    <n v="146.6"/>
  </r>
  <r>
    <x v="2"/>
    <x v="6"/>
    <x v="0"/>
    <x v="74"/>
    <x v="133"/>
    <n v="151.4"/>
    <n v="140.19999999999999"/>
    <n v="142.1"/>
    <n v="121.8"/>
    <n v="135.4"/>
    <n v="131.30000000000001"/>
    <n v="120.3"/>
    <n v="109.1"/>
    <n v="139.4"/>
    <n v="133.30000000000001"/>
    <n v="154.6"/>
    <n v="137.4"/>
    <n v="163.19999999999999"/>
    <n v="147.6"/>
    <n v="139"/>
    <n v="146.4"/>
    <n v="147.69999999999999"/>
    <n v="147.69999999999999"/>
    <n v="139.5"/>
    <n v="143.6"/>
    <n v="145.1"/>
    <n v="123.3"/>
    <n v="136.69999999999999"/>
    <n v="150.19999999999999"/>
    <n v="132.80000000000001"/>
    <n v="136.9"/>
    <n v="139.6"/>
    <n v="1753.3999999999999"/>
    <n v="163.19999999999999"/>
    <n v="286.60000000000002"/>
    <n v="700.49999999999989"/>
    <n v="145.1"/>
    <n v="123.3"/>
    <n v="136.69999999999999"/>
    <n v="150.19999999999999"/>
  </r>
  <r>
    <x v="0"/>
    <x v="6"/>
    <x v="1"/>
    <x v="75"/>
    <x v="130"/>
    <n v="153"/>
    <n v="139.1"/>
    <n v="142.5"/>
    <n v="124.1"/>
    <n v="135.80000000000001"/>
    <n v="128.69999999999999"/>
    <n v="121.5"/>
    <n v="108.3"/>
    <n v="139.19999999999999"/>
    <n v="137.4"/>
    <n v="156.19999999999999"/>
    <n v="137.19999999999999"/>
    <n v="162.80000000000001"/>
    <n v="150.5"/>
    <n v="146.1"/>
    <n v="149.9"/>
    <s v="NA"/>
    <n v="148.5"/>
    <n v="145.30000000000001"/>
    <n v="150.1"/>
    <n v="149.9"/>
    <n v="129.19999999999999"/>
    <n v="143.4"/>
    <n v="155.5"/>
    <n v="134.9"/>
    <n v="142.19999999999999"/>
    <n v="141"/>
    <n v="1759.8000000000002"/>
    <n v="162.80000000000001"/>
    <n v="296.60000000000002"/>
    <n v="721"/>
    <n v="149.9"/>
    <n v="129.19999999999999"/>
    <n v="143.4"/>
    <n v="155.5"/>
  </r>
  <r>
    <x v="1"/>
    <x v="6"/>
    <x v="1"/>
    <x v="75"/>
    <x v="143"/>
    <n v="150.1"/>
    <n v="145.30000000000001"/>
    <n v="141.69999999999999"/>
    <n v="118.4"/>
    <n v="137"/>
    <n v="131.6"/>
    <n v="119.9"/>
    <n v="110.4"/>
    <n v="140.80000000000001"/>
    <n v="128.30000000000001"/>
    <n v="153.5"/>
    <n v="138"/>
    <n v="164.9"/>
    <n v="143.30000000000001"/>
    <n v="130.80000000000001"/>
    <n v="141.4"/>
    <n v="148.5"/>
    <n v="148.5"/>
    <n v="127.1"/>
    <n v="136.6"/>
    <n v="138.5"/>
    <n v="119.2"/>
    <n v="132.19999999999999"/>
    <n v="146.6"/>
    <n v="133"/>
    <n v="132.4"/>
    <n v="138.6"/>
    <n v="1754.4"/>
    <n v="164.9"/>
    <n v="274.10000000000002"/>
    <n v="677.6"/>
    <n v="138.5"/>
    <n v="119.2"/>
    <n v="132.19999999999999"/>
    <n v="146.6"/>
  </r>
  <r>
    <x v="2"/>
    <x v="6"/>
    <x v="1"/>
    <x v="75"/>
    <x v="135"/>
    <n v="152"/>
    <n v="141.5"/>
    <n v="142.19999999999999"/>
    <n v="122"/>
    <n v="136.4"/>
    <n v="129.69999999999999"/>
    <n v="121"/>
    <n v="109"/>
    <n v="139.69999999999999"/>
    <n v="133.6"/>
    <n v="154.9"/>
    <n v="137.5"/>
    <n v="163.4"/>
    <n v="147.69999999999999"/>
    <n v="139.69999999999999"/>
    <n v="146.5"/>
    <n v="148.5"/>
    <n v="148.5"/>
    <n v="138.4"/>
    <n v="143.69999999999999"/>
    <n v="145.6"/>
    <n v="123.9"/>
    <n v="137.1"/>
    <n v="150.30000000000001"/>
    <n v="134.1"/>
    <n v="137.4"/>
    <n v="139.9"/>
    <n v="1757.1"/>
    <n v="163.4"/>
    <n v="287.39999999999998"/>
    <n v="702.09999999999991"/>
    <n v="145.6"/>
    <n v="123.9"/>
    <n v="137.1"/>
    <n v="150.30000000000001"/>
  </r>
  <r>
    <x v="0"/>
    <x v="6"/>
    <x v="2"/>
    <x v="76"/>
    <x v="136"/>
    <n v="154.1"/>
    <n v="138.69999999999999"/>
    <n v="142.5"/>
    <n v="124.1"/>
    <n v="136.1"/>
    <n v="128.19999999999999"/>
    <n v="122.3"/>
    <n v="108.3"/>
    <n v="138.9"/>
    <n v="137.4"/>
    <n v="156.4"/>
    <n v="137.30000000000001"/>
    <n v="162.9"/>
    <n v="150.80000000000001"/>
    <n v="146.1"/>
    <n v="150.1"/>
    <s v="NA"/>
    <n v="149"/>
    <n v="146.4"/>
    <n v="150"/>
    <n v="150.4"/>
    <n v="129.9"/>
    <n v="143.80000000000001"/>
    <n v="155.5"/>
    <n v="134"/>
    <n v="142.4"/>
    <n v="141.19999999999999"/>
    <n v="1761.2000000000003"/>
    <n v="162.9"/>
    <n v="296.89999999999998"/>
    <n v="721.8"/>
    <n v="150.4"/>
    <n v="129.9"/>
    <n v="143.80000000000001"/>
    <n v="155.5"/>
  </r>
  <r>
    <x v="1"/>
    <x v="6"/>
    <x v="2"/>
    <x v="76"/>
    <x v="149"/>
    <n v="151.1"/>
    <n v="142.9"/>
    <n v="141.9"/>
    <n v="118.4"/>
    <n v="139.4"/>
    <n v="141.19999999999999"/>
    <n v="120.7"/>
    <n v="110.4"/>
    <n v="140.69999999999999"/>
    <n v="128.5"/>
    <n v="153.9"/>
    <n v="139.6"/>
    <n v="165.3"/>
    <n v="143.5"/>
    <n v="131.19999999999999"/>
    <n v="141.6"/>
    <n v="149"/>
    <n v="149"/>
    <n v="128.80000000000001"/>
    <n v="136.80000000000001"/>
    <n v="139.19999999999999"/>
    <n v="119.9"/>
    <n v="133"/>
    <n v="146.69999999999999"/>
    <n v="132.5"/>
    <n v="132.80000000000001"/>
    <n v="139.5"/>
    <n v="1768.4"/>
    <n v="165.3"/>
    <n v="274.7"/>
    <n v="679.90000000000009"/>
    <n v="139.19999999999999"/>
    <n v="119.9"/>
    <n v="133"/>
    <n v="146.69999999999999"/>
  </r>
  <r>
    <x v="2"/>
    <x v="6"/>
    <x v="2"/>
    <x v="76"/>
    <x v="150"/>
    <n v="153"/>
    <n v="140.30000000000001"/>
    <n v="142.30000000000001"/>
    <n v="122"/>
    <n v="137.6"/>
    <n v="132.6"/>
    <n v="121.8"/>
    <n v="109"/>
    <n v="139.5"/>
    <n v="133.69999999999999"/>
    <n v="155.19999999999999"/>
    <n v="138.1"/>
    <n v="163.5"/>
    <n v="147.9"/>
    <n v="139.9"/>
    <n v="146.69999999999999"/>
    <n v="149"/>
    <n v="149"/>
    <n v="139.69999999999999"/>
    <n v="143.80000000000001"/>
    <n v="146.19999999999999"/>
    <n v="124.6"/>
    <n v="137.69999999999999"/>
    <n v="150.30000000000001"/>
    <n v="133.4"/>
    <n v="137.69999999999999"/>
    <n v="140.4"/>
    <n v="1762.9"/>
    <n v="163.5"/>
    <n v="287.8"/>
    <n v="703.59999999999991"/>
    <n v="146.19999999999999"/>
    <n v="124.6"/>
    <n v="137.69999999999999"/>
    <n v="150.30000000000001"/>
  </r>
  <r>
    <x v="0"/>
    <x v="6"/>
    <x v="4"/>
    <x v="77"/>
    <x v="134"/>
    <n v="159.5"/>
    <n v="134.5"/>
    <n v="142.6"/>
    <n v="124"/>
    <n v="143.69999999999999"/>
    <n v="133.4"/>
    <n v="125.1"/>
    <n v="109.3"/>
    <n v="139.30000000000001"/>
    <n v="137.69999999999999"/>
    <n v="156.4"/>
    <n v="139.19999999999999"/>
    <n v="163.30000000000001"/>
    <n v="151.30000000000001"/>
    <n v="146.6"/>
    <n v="150.69999999999999"/>
    <s v="NA"/>
    <n v="150.1"/>
    <n v="146.9"/>
    <n v="149.5"/>
    <n v="151.30000000000001"/>
    <n v="130.19999999999999"/>
    <n v="145.9"/>
    <n v="156.69999999999999"/>
    <n v="133.9"/>
    <n v="142.9"/>
    <n v="142.4"/>
    <n v="1782.1000000000001"/>
    <n v="163.30000000000001"/>
    <n v="297.89999999999998"/>
    <n v="723.3"/>
    <n v="151.30000000000001"/>
    <n v="130.19999999999999"/>
    <n v="145.9"/>
    <n v="156.69999999999999"/>
  </r>
  <r>
    <x v="1"/>
    <x v="6"/>
    <x v="4"/>
    <x v="77"/>
    <x v="151"/>
    <n v="156.69999999999999"/>
    <n v="138.30000000000001"/>
    <n v="142.4"/>
    <n v="118.6"/>
    <n v="149.69999999999999"/>
    <n v="161.6"/>
    <n v="124.4"/>
    <n v="111.2"/>
    <n v="141"/>
    <n v="128.9"/>
    <n v="154.5"/>
    <n v="143.80000000000001"/>
    <n v="166.2"/>
    <n v="144"/>
    <n v="131.69999999999999"/>
    <n v="142.19999999999999"/>
    <n v="150.1"/>
    <n v="150.1"/>
    <n v="129.4"/>
    <n v="137.19999999999999"/>
    <n v="139.80000000000001"/>
    <n v="120.1"/>
    <n v="134"/>
    <n v="148"/>
    <n v="132.6"/>
    <n v="133.30000000000001"/>
    <n v="141.5"/>
    <n v="1811.5000000000002"/>
    <n v="166.2"/>
    <n v="275.7"/>
    <n v="682.59999999999991"/>
    <n v="139.80000000000001"/>
    <n v="120.1"/>
    <n v="134"/>
    <n v="148"/>
  </r>
  <r>
    <x v="2"/>
    <x v="6"/>
    <x v="4"/>
    <x v="77"/>
    <x v="142"/>
    <n v="158.5"/>
    <n v="136"/>
    <n v="142.5"/>
    <n v="122"/>
    <n v="146.5"/>
    <n v="143"/>
    <n v="124.9"/>
    <n v="109.9"/>
    <n v="139.9"/>
    <n v="134"/>
    <n v="155.5"/>
    <n v="140.9"/>
    <n v="164.1"/>
    <n v="148.4"/>
    <n v="140.4"/>
    <n v="147.30000000000001"/>
    <n v="150.1"/>
    <n v="150.1"/>
    <n v="140.30000000000001"/>
    <n v="143.69999999999999"/>
    <n v="146.9"/>
    <n v="124.9"/>
    <n v="139.19999999999999"/>
    <n v="151.6"/>
    <n v="133.4"/>
    <n v="138.19999999999999"/>
    <n v="142"/>
    <n v="1791.9000000000003"/>
    <n v="164.1"/>
    <n v="288.8"/>
    <n v="705.7"/>
    <n v="146.9"/>
    <n v="124.9"/>
    <n v="139.19999999999999"/>
    <n v="151.6"/>
  </r>
  <r>
    <x v="0"/>
    <x v="6"/>
    <x v="5"/>
    <x v="78"/>
    <x v="150"/>
    <n v="163.5"/>
    <n v="136.19999999999999"/>
    <n v="143.19999999999999"/>
    <n v="124.3"/>
    <n v="143.30000000000001"/>
    <n v="140.6"/>
    <n v="128.69999999999999"/>
    <n v="110.6"/>
    <n v="140.4"/>
    <n v="138"/>
    <n v="156.6"/>
    <n v="141"/>
    <n v="164.2"/>
    <n v="151.4"/>
    <n v="146.5"/>
    <n v="150.69999999999999"/>
    <s v="NA"/>
    <n v="149.4"/>
    <n v="147.80000000000001"/>
    <n v="149.6"/>
    <n v="151.69999999999999"/>
    <n v="130.19999999999999"/>
    <n v="146.4"/>
    <n v="157.69999999999999"/>
    <n v="134.80000000000001"/>
    <n v="143.30000000000001"/>
    <n v="143.6"/>
    <n v="1804.1999999999998"/>
    <n v="164.2"/>
    <n v="297.89999999999998"/>
    <n v="724.90000000000009"/>
    <n v="151.69999999999999"/>
    <n v="130.19999999999999"/>
    <n v="146.4"/>
    <n v="157.69999999999999"/>
  </r>
  <r>
    <x v="1"/>
    <x v="6"/>
    <x v="5"/>
    <x v="78"/>
    <x v="152"/>
    <n v="159.6"/>
    <n v="140.4"/>
    <n v="143.4"/>
    <n v="118.6"/>
    <n v="150.9"/>
    <n v="169.8"/>
    <n v="127.4"/>
    <n v="111.8"/>
    <n v="141"/>
    <n v="129"/>
    <n v="155.1"/>
    <n v="145.6"/>
    <n v="166.7"/>
    <n v="144.30000000000001"/>
    <n v="131.69999999999999"/>
    <n v="142.4"/>
    <n v="149.4"/>
    <n v="149.4"/>
    <n v="130.5"/>
    <n v="137.4"/>
    <n v="140.30000000000001"/>
    <n v="119.6"/>
    <n v="134.30000000000001"/>
    <n v="148.9"/>
    <n v="133.69999999999999"/>
    <n v="133.6"/>
    <n v="142.1"/>
    <n v="1833.2999999999997"/>
    <n v="166.7"/>
    <n v="276"/>
    <n v="684.6"/>
    <n v="140.30000000000001"/>
    <n v="119.6"/>
    <n v="134.30000000000001"/>
    <n v="148.9"/>
  </r>
  <r>
    <x v="2"/>
    <x v="6"/>
    <x v="5"/>
    <x v="78"/>
    <x v="153"/>
    <n v="162.1"/>
    <n v="137.80000000000001"/>
    <n v="143.30000000000001"/>
    <n v="122.2"/>
    <n v="146.80000000000001"/>
    <n v="150.5"/>
    <n v="128.30000000000001"/>
    <n v="111"/>
    <n v="140.6"/>
    <n v="134.19999999999999"/>
    <n v="155.9"/>
    <n v="142.69999999999999"/>
    <n v="164.9"/>
    <n v="148.6"/>
    <n v="140.4"/>
    <n v="147.4"/>
    <n v="149.4"/>
    <n v="149.4"/>
    <n v="141.19999999999999"/>
    <n v="143.80000000000001"/>
    <n v="147.4"/>
    <n v="124.6"/>
    <n v="139.6"/>
    <n v="152.5"/>
    <n v="134.30000000000001"/>
    <n v="138.6"/>
    <n v="142.9"/>
    <n v="1814.1000000000001"/>
    <n v="164.9"/>
    <n v="289"/>
    <n v="707.30000000000007"/>
    <n v="147.4"/>
    <n v="124.6"/>
    <n v="139.6"/>
    <n v="152.5"/>
  </r>
  <r>
    <x v="0"/>
    <x v="6"/>
    <x v="6"/>
    <x v="79"/>
    <x v="137"/>
    <n v="164"/>
    <n v="138.4"/>
    <n v="143.9"/>
    <n v="124.4"/>
    <n v="146.4"/>
    <n v="150.1"/>
    <n v="130.6"/>
    <n v="110.8"/>
    <n v="141.69999999999999"/>
    <n v="138.5"/>
    <n v="156.69999999999999"/>
    <n v="143"/>
    <n v="164.5"/>
    <n v="151.6"/>
    <n v="146.6"/>
    <n v="150.9"/>
    <s v="NA"/>
    <n v="150.6"/>
    <n v="146.80000000000001"/>
    <n v="150"/>
    <n v="152.19999999999999"/>
    <n v="131.19999999999999"/>
    <n v="147.5"/>
    <n v="159.1"/>
    <n v="136.1"/>
    <n v="144.19999999999999"/>
    <n v="144.9"/>
    <n v="1826.8999999999999"/>
    <n v="164.5"/>
    <n v="298.2"/>
    <n v="727.7"/>
    <n v="152.19999999999999"/>
    <n v="131.19999999999999"/>
    <n v="147.5"/>
    <n v="159.1"/>
  </r>
  <r>
    <x v="1"/>
    <x v="6"/>
    <x v="6"/>
    <x v="79"/>
    <x v="154"/>
    <n v="160.19999999999999"/>
    <n v="142.5"/>
    <n v="144.1"/>
    <n v="119.3"/>
    <n v="154.69999999999999"/>
    <n v="180.1"/>
    <n v="128.9"/>
    <n v="111.8"/>
    <n v="141.6"/>
    <n v="129.5"/>
    <n v="155.6"/>
    <n v="147.69999999999999"/>
    <n v="167.2"/>
    <n v="144.69999999999999"/>
    <n v="131.9"/>
    <n v="142.69999999999999"/>
    <n v="150.6"/>
    <n v="150.6"/>
    <n v="127"/>
    <n v="137.69999999999999"/>
    <n v="140.80000000000001"/>
    <n v="120.6"/>
    <n v="135"/>
    <n v="150.4"/>
    <n v="135.1"/>
    <n v="134.5"/>
    <n v="143.30000000000001"/>
    <n v="1857.3999999999999"/>
    <n v="167.2"/>
    <n v="276.60000000000002"/>
    <n v="684.9"/>
    <n v="140.80000000000001"/>
    <n v="120.6"/>
    <n v="135"/>
    <n v="150.4"/>
  </r>
  <r>
    <x v="2"/>
    <x v="6"/>
    <x v="6"/>
    <x v="79"/>
    <x v="146"/>
    <n v="162.69999999999999"/>
    <n v="140"/>
    <n v="144"/>
    <n v="122.5"/>
    <n v="150.30000000000001"/>
    <n v="160.30000000000001"/>
    <n v="130"/>
    <n v="111.1"/>
    <n v="141.69999999999999"/>
    <n v="134.69999999999999"/>
    <n v="156.19999999999999"/>
    <n v="144.69999999999999"/>
    <n v="165.2"/>
    <n v="148.9"/>
    <n v="140.5"/>
    <n v="147.6"/>
    <n v="150.6"/>
    <n v="150.6"/>
    <n v="139.30000000000001"/>
    <n v="144.19999999999999"/>
    <n v="147.9"/>
    <n v="125.6"/>
    <n v="140.5"/>
    <n v="154"/>
    <n v="135.69999999999999"/>
    <n v="139.5"/>
    <n v="144.19999999999999"/>
    <n v="1837.5"/>
    <n v="165.2"/>
    <n v="289.39999999999998"/>
    <n v="709.3"/>
    <n v="147.9"/>
    <n v="125.6"/>
    <n v="140.5"/>
    <n v="154"/>
  </r>
  <r>
    <x v="0"/>
    <x v="6"/>
    <x v="7"/>
    <x v="80"/>
    <x v="140"/>
    <n v="161.9"/>
    <n v="137.1"/>
    <n v="144.6"/>
    <n v="124.7"/>
    <n v="145.5"/>
    <n v="156.19999999999999"/>
    <n v="131.5"/>
    <n v="111.7"/>
    <n v="142.69999999999999"/>
    <n v="138.5"/>
    <n v="156.9"/>
    <n v="144"/>
    <n v="165.1"/>
    <n v="151.80000000000001"/>
    <n v="146.6"/>
    <n v="151.1"/>
    <s v="NA"/>
    <n v="151.6"/>
    <n v="146.4"/>
    <n v="150.19999999999999"/>
    <n v="152.69999999999999"/>
    <n v="131.4"/>
    <n v="148"/>
    <n v="159.69999999999999"/>
    <n v="138.80000000000001"/>
    <n v="144.9"/>
    <n v="145.69999999999999"/>
    <n v="1834.5000000000002"/>
    <n v="165.1"/>
    <n v="298.39999999999998"/>
    <n v="731.9"/>
    <n v="152.69999999999999"/>
    <n v="131.4"/>
    <n v="148"/>
    <n v="159.69999999999999"/>
  </r>
  <r>
    <x v="1"/>
    <x v="6"/>
    <x v="7"/>
    <x v="80"/>
    <x v="155"/>
    <n v="158.30000000000001"/>
    <n v="140.80000000000001"/>
    <n v="144.9"/>
    <n v="119.9"/>
    <n v="153.9"/>
    <n v="189.1"/>
    <n v="129.80000000000001"/>
    <n v="112.7"/>
    <n v="142.5"/>
    <n v="129.80000000000001"/>
    <n v="156.19999999999999"/>
    <n v="149.1"/>
    <n v="167.9"/>
    <n v="145"/>
    <n v="132.19999999999999"/>
    <n v="143"/>
    <n v="151.6"/>
    <n v="151.6"/>
    <n v="125.5"/>
    <n v="138.1"/>
    <n v="141.5"/>
    <n v="120.8"/>
    <n v="135.4"/>
    <n v="151.5"/>
    <n v="137.80000000000001"/>
    <n v="135.30000000000001"/>
    <n v="144.19999999999999"/>
    <n v="1869.1"/>
    <n v="167.9"/>
    <n v="277.2"/>
    <n v="688.3"/>
    <n v="141.5"/>
    <n v="120.8"/>
    <n v="135.4"/>
    <n v="151.5"/>
  </r>
  <r>
    <x v="2"/>
    <x v="6"/>
    <x v="7"/>
    <x v="80"/>
    <x v="156"/>
    <n v="160.6"/>
    <n v="138.5"/>
    <n v="144.69999999999999"/>
    <n v="122.9"/>
    <n v="149.4"/>
    <n v="167.4"/>
    <n v="130.9"/>
    <n v="112"/>
    <n v="142.6"/>
    <n v="134.9"/>
    <n v="156.6"/>
    <n v="145.9"/>
    <n v="165.8"/>
    <n v="149.1"/>
    <n v="140.6"/>
    <n v="147.9"/>
    <n v="151.6"/>
    <n v="151.6"/>
    <n v="138.5"/>
    <n v="144.5"/>
    <n v="148.5"/>
    <n v="125.8"/>
    <n v="140.9"/>
    <n v="154.9"/>
    <n v="138.4"/>
    <n v="140.19999999999999"/>
    <n v="145"/>
    <n v="1846.5"/>
    <n v="165.8"/>
    <n v="289.7"/>
    <n v="713.2"/>
    <n v="148.5"/>
    <n v="125.8"/>
    <n v="140.9"/>
    <n v="154.9"/>
  </r>
  <r>
    <x v="0"/>
    <x v="6"/>
    <x v="8"/>
    <x v="81"/>
    <x v="156"/>
    <n v="161.9"/>
    <n v="138.30000000000001"/>
    <n v="145.69999999999999"/>
    <n v="125.1"/>
    <n v="143.80000000000001"/>
    <n v="163.4"/>
    <n v="132.19999999999999"/>
    <n v="112.8"/>
    <n v="144.19999999999999"/>
    <n v="138.5"/>
    <n v="157.19999999999999"/>
    <n v="145.5"/>
    <n v="165.7"/>
    <n v="151.69999999999999"/>
    <n v="146.6"/>
    <n v="151"/>
    <s v="NA"/>
    <n v="152.19999999999999"/>
    <n v="146.9"/>
    <n v="150.30000000000001"/>
    <n v="153.4"/>
    <n v="131.6"/>
    <n v="148.30000000000001"/>
    <n v="160.19999999999999"/>
    <n v="140.19999999999999"/>
    <n v="145.4"/>
    <n v="146.69999999999999"/>
    <n v="1848.7"/>
    <n v="165.7"/>
    <n v="298.29999999999995"/>
    <n v="735"/>
    <n v="153.4"/>
    <n v="131.6"/>
    <n v="148.30000000000001"/>
    <n v="160.19999999999999"/>
  </r>
  <r>
    <x v="1"/>
    <x v="6"/>
    <x v="8"/>
    <x v="81"/>
    <x v="157"/>
    <n v="158.69999999999999"/>
    <n v="141.6"/>
    <n v="144.9"/>
    <n v="120.8"/>
    <n v="149.80000000000001"/>
    <n v="192.4"/>
    <n v="130.30000000000001"/>
    <n v="114"/>
    <n v="143.80000000000001"/>
    <n v="130"/>
    <n v="156.4"/>
    <n v="149.5"/>
    <n v="168.6"/>
    <n v="145.30000000000001"/>
    <n v="132.19999999999999"/>
    <n v="143.30000000000001"/>
    <n v="152.19999999999999"/>
    <n v="152.19999999999999"/>
    <n v="126.6"/>
    <n v="138.30000000000001"/>
    <n v="141.9"/>
    <n v="121.2"/>
    <n v="135.9"/>
    <n v="151.6"/>
    <n v="139"/>
    <n v="135.69999999999999"/>
    <n v="144.69999999999999"/>
    <n v="1874.9"/>
    <n v="168.6"/>
    <n v="277.5"/>
    <n v="691.8"/>
    <n v="141.9"/>
    <n v="121.2"/>
    <n v="135.9"/>
    <n v="151.6"/>
  </r>
  <r>
    <x v="2"/>
    <x v="6"/>
    <x v="8"/>
    <x v="81"/>
    <x v="158"/>
    <n v="160.80000000000001"/>
    <n v="139.6"/>
    <n v="145.4"/>
    <n v="123.5"/>
    <n v="146.6"/>
    <n v="173.2"/>
    <n v="131.6"/>
    <n v="113.2"/>
    <n v="144.1"/>
    <n v="135"/>
    <n v="156.80000000000001"/>
    <n v="147"/>
    <n v="166.5"/>
    <n v="149.19999999999999"/>
    <n v="140.6"/>
    <n v="147.9"/>
    <n v="152.19999999999999"/>
    <n v="152.19999999999999"/>
    <n v="139.19999999999999"/>
    <n v="144.6"/>
    <n v="149"/>
    <n v="126.1"/>
    <n v="141.30000000000001"/>
    <n v="155.19999999999999"/>
    <n v="139.69999999999999"/>
    <n v="140.69999999999999"/>
    <n v="145.80000000000001"/>
    <n v="1857.6999999999998"/>
    <n v="166.5"/>
    <n v="289.79999999999995"/>
    <n v="716.40000000000009"/>
    <n v="149"/>
    <n v="126.1"/>
    <n v="141.30000000000001"/>
    <n v="155.19999999999999"/>
  </r>
  <r>
    <x v="0"/>
    <x v="6"/>
    <x v="9"/>
    <x v="82"/>
    <x v="159"/>
    <n v="161.6"/>
    <n v="141.19999999999999"/>
    <n v="146.5"/>
    <n v="125.6"/>
    <n v="145.69999999999999"/>
    <n v="178.8"/>
    <n v="133.1"/>
    <n v="113.6"/>
    <n v="145.5"/>
    <n v="138.6"/>
    <n v="157.4"/>
    <n v="148.30000000000001"/>
    <n v="166.3"/>
    <n v="151.69999999999999"/>
    <n v="146.69999999999999"/>
    <n v="151"/>
    <s v="NA"/>
    <n v="153"/>
    <n v="147.69999999999999"/>
    <n v="150.6"/>
    <n v="153.69999999999999"/>
    <n v="131.69999999999999"/>
    <n v="148.69999999999999"/>
    <n v="160.69999999999999"/>
    <n v="140.30000000000001"/>
    <n v="145.69999999999999"/>
    <n v="148.30000000000001"/>
    <n v="1876.8999999999996"/>
    <n v="166.3"/>
    <n v="298.39999999999998"/>
    <n v="737.3"/>
    <n v="153.69999999999999"/>
    <n v="131.69999999999999"/>
    <n v="148.69999999999999"/>
    <n v="160.69999999999999"/>
  </r>
  <r>
    <x v="1"/>
    <x v="6"/>
    <x v="9"/>
    <x v="82"/>
    <x v="160"/>
    <n v="159.80000000000001"/>
    <n v="144.69999999999999"/>
    <n v="145.6"/>
    <n v="121.1"/>
    <n v="150.6"/>
    <n v="207.2"/>
    <n v="131.19999999999999"/>
    <n v="114.8"/>
    <n v="145.19999999999999"/>
    <n v="130.19999999999999"/>
    <n v="156.80000000000001"/>
    <n v="151.9"/>
    <n v="169.3"/>
    <n v="145.9"/>
    <n v="132.4"/>
    <n v="143.9"/>
    <n v="153"/>
    <n v="153"/>
    <n v="128.9"/>
    <n v="138.69999999999999"/>
    <n v="142.4"/>
    <n v="121.5"/>
    <n v="136.19999999999999"/>
    <n v="151.69999999999999"/>
    <n v="139.5"/>
    <n v="136"/>
    <n v="146"/>
    <n v="1902.6000000000001"/>
    <n v="169.3"/>
    <n v="278.3"/>
    <n v="696.09999999999991"/>
    <n v="142.4"/>
    <n v="121.5"/>
    <n v="136.19999999999999"/>
    <n v="151.69999999999999"/>
  </r>
  <r>
    <x v="2"/>
    <x v="6"/>
    <x v="9"/>
    <x v="82"/>
    <x v="161"/>
    <n v="161"/>
    <n v="142.6"/>
    <n v="146.19999999999999"/>
    <n v="123.9"/>
    <n v="148"/>
    <n v="188.4"/>
    <n v="132.5"/>
    <n v="114"/>
    <n v="145.4"/>
    <n v="135.1"/>
    <n v="157.1"/>
    <n v="149.6"/>
    <n v="167.1"/>
    <n v="149.4"/>
    <n v="140.80000000000001"/>
    <n v="148.19999999999999"/>
    <n v="153"/>
    <n v="153"/>
    <n v="140.6"/>
    <n v="145"/>
    <n v="149.4"/>
    <n v="126.3"/>
    <n v="141.69999999999999"/>
    <n v="155.4"/>
    <n v="140"/>
    <n v="141"/>
    <n v="147.19999999999999"/>
    <n v="1885.5999999999997"/>
    <n v="167.1"/>
    <n v="290.20000000000005"/>
    <n v="719.6"/>
    <n v="149.4"/>
    <n v="126.3"/>
    <n v="141.69999999999999"/>
    <n v="155.4"/>
  </r>
  <r>
    <x v="0"/>
    <x v="6"/>
    <x v="11"/>
    <x v="83"/>
    <x v="161"/>
    <n v="163.69999999999999"/>
    <n v="143.80000000000001"/>
    <n v="147.1"/>
    <n v="126"/>
    <n v="146.19999999999999"/>
    <n v="191.4"/>
    <n v="136.19999999999999"/>
    <n v="113.8"/>
    <n v="147.30000000000001"/>
    <n v="138.69999999999999"/>
    <n v="157.69999999999999"/>
    <n v="150.9"/>
    <n v="167.2"/>
    <n v="152.30000000000001"/>
    <n v="147"/>
    <n v="151.5"/>
    <s v="NA"/>
    <n v="153.5"/>
    <n v="148.4"/>
    <n v="150.9"/>
    <n v="154.30000000000001"/>
    <n v="132.1"/>
    <n v="149.1"/>
    <n v="160.80000000000001"/>
    <n v="140.6"/>
    <n v="146.1"/>
    <n v="149.9"/>
    <n v="1904.6000000000001"/>
    <n v="167.2"/>
    <n v="299.3"/>
    <n v="739.5"/>
    <n v="154.30000000000001"/>
    <n v="132.1"/>
    <n v="149.1"/>
    <n v="160.80000000000001"/>
  </r>
  <r>
    <x v="1"/>
    <x v="6"/>
    <x v="11"/>
    <x v="83"/>
    <x v="162"/>
    <n v="162.4"/>
    <n v="148.4"/>
    <n v="145.9"/>
    <n v="121.5"/>
    <n v="148.80000000000001"/>
    <n v="215.7"/>
    <n v="134.6"/>
    <n v="115"/>
    <n v="146.30000000000001"/>
    <n v="130.5"/>
    <n v="157.19999999999999"/>
    <n v="153.6"/>
    <n v="169.9"/>
    <n v="146.30000000000001"/>
    <n v="132.6"/>
    <n v="144.19999999999999"/>
    <n v="153.5"/>
    <n v="153.5"/>
    <n v="132.19999999999999"/>
    <n v="139.1"/>
    <n v="142.80000000000001"/>
    <n v="121.7"/>
    <n v="136.69999999999999"/>
    <n v="151.80000000000001"/>
    <n v="139.80000000000001"/>
    <n v="136.30000000000001"/>
    <n v="147"/>
    <n v="1923.9999999999998"/>
    <n v="169.9"/>
    <n v="278.89999999999998"/>
    <n v="700.89999999999986"/>
    <n v="142.80000000000001"/>
    <n v="121.7"/>
    <n v="136.69999999999999"/>
    <n v="151.80000000000001"/>
  </r>
  <r>
    <x v="2"/>
    <x v="6"/>
    <x v="11"/>
    <x v="83"/>
    <x v="163"/>
    <n v="163.19999999999999"/>
    <n v="145.6"/>
    <n v="146.69999999999999"/>
    <n v="124.3"/>
    <n v="147.4"/>
    <n v="199.6"/>
    <n v="135.69999999999999"/>
    <n v="114.2"/>
    <n v="147"/>
    <n v="135.30000000000001"/>
    <n v="157.5"/>
    <n v="151.9"/>
    <n v="167.9"/>
    <n v="149.9"/>
    <n v="141"/>
    <n v="148.6"/>
    <n v="153.5"/>
    <n v="153.5"/>
    <n v="142.30000000000001"/>
    <n v="145.30000000000001"/>
    <n v="149.9"/>
    <n v="126.6"/>
    <n v="142.1"/>
    <n v="155.5"/>
    <n v="140.30000000000001"/>
    <n v="141.30000000000001"/>
    <n v="148.6"/>
    <n v="1910.9"/>
    <n v="167.9"/>
    <n v="290.89999999999998"/>
    <n v="722.7"/>
    <n v="149.9"/>
    <n v="126.6"/>
    <n v="142.1"/>
    <n v="155.5"/>
  </r>
  <r>
    <x v="0"/>
    <x v="6"/>
    <x v="12"/>
    <x v="84"/>
    <x v="164"/>
    <n v="165.3"/>
    <n v="149.5"/>
    <n v="148.69999999999999"/>
    <n v="127.5"/>
    <n v="144.30000000000001"/>
    <n v="209.5"/>
    <n v="138.80000000000001"/>
    <n v="113.6"/>
    <n v="149.1"/>
    <n v="139.30000000000001"/>
    <n v="158.30000000000001"/>
    <n v="154.30000000000001"/>
    <n v="167.8"/>
    <n v="152.6"/>
    <n v="147.30000000000001"/>
    <n v="151.9"/>
    <s v="NA"/>
    <n v="152.80000000000001"/>
    <n v="149.9"/>
    <n v="151.19999999999999"/>
    <n v="154.80000000000001"/>
    <n v="135"/>
    <n v="149.5"/>
    <n v="161.1"/>
    <n v="140.6"/>
    <n v="147.1"/>
    <n v="152.30000000000001"/>
    <n v="1940.9999999999995"/>
    <n v="167.8"/>
    <n v="299.89999999999998"/>
    <n v="741.6"/>
    <n v="154.80000000000001"/>
    <n v="135"/>
    <n v="149.5"/>
    <n v="161.1"/>
  </r>
  <r>
    <x v="1"/>
    <x v="6"/>
    <x v="12"/>
    <x v="84"/>
    <x v="165"/>
    <n v="164.5"/>
    <n v="153.69999999999999"/>
    <n v="147.5"/>
    <n v="122.7"/>
    <n v="147.19999999999999"/>
    <n v="231.5"/>
    <n v="137.19999999999999"/>
    <n v="114.7"/>
    <n v="148"/>
    <n v="130.80000000000001"/>
    <n v="157.69999999999999"/>
    <n v="156.30000000000001"/>
    <n v="170.4"/>
    <n v="146.80000000000001"/>
    <n v="132.80000000000001"/>
    <n v="144.6"/>
    <n v="152.80000000000001"/>
    <n v="152.80000000000001"/>
    <n v="133.6"/>
    <n v="139.80000000000001"/>
    <n v="143.19999999999999"/>
    <n v="125.2"/>
    <n v="136.80000000000001"/>
    <n v="151.9"/>
    <n v="140.19999999999999"/>
    <n v="137.69999999999999"/>
    <n v="148.30000000000001"/>
    <n v="1956.7"/>
    <n v="170.4"/>
    <n v="279.60000000000002"/>
    <n v="704.09999999999991"/>
    <n v="143.19999999999999"/>
    <n v="125.2"/>
    <n v="136.80000000000001"/>
    <n v="151.9"/>
  </r>
  <r>
    <x v="2"/>
    <x v="6"/>
    <x v="12"/>
    <x v="84"/>
    <x v="160"/>
    <n v="165"/>
    <n v="151.1"/>
    <n v="148.30000000000001"/>
    <n v="125.7"/>
    <n v="145.69999999999999"/>
    <n v="217"/>
    <n v="138.30000000000001"/>
    <n v="114"/>
    <n v="148.69999999999999"/>
    <n v="135.80000000000001"/>
    <n v="158"/>
    <n v="155"/>
    <n v="168.5"/>
    <n v="150.30000000000001"/>
    <n v="141.30000000000001"/>
    <n v="149"/>
    <n v="152.80000000000001"/>
    <n v="152.80000000000001"/>
    <n v="143.69999999999999"/>
    <n v="145.80000000000001"/>
    <n v="150.4"/>
    <n v="129.80000000000001"/>
    <n v="142.30000000000001"/>
    <n v="155.69999999999999"/>
    <n v="140.4"/>
    <n v="142.5"/>
    <n v="150.4"/>
    <n v="1946.1000000000001"/>
    <n v="168.5"/>
    <n v="291.60000000000002"/>
    <n v="725.2"/>
    <n v="150.4"/>
    <n v="129.80000000000001"/>
    <n v="142.30000000000001"/>
    <n v="155.69999999999999"/>
  </r>
  <r>
    <x v="0"/>
    <x v="7"/>
    <x v="0"/>
    <x v="85"/>
    <x v="166"/>
    <n v="167.3"/>
    <n v="153.5"/>
    <n v="150.5"/>
    <n v="132"/>
    <n v="142.19999999999999"/>
    <n v="191.5"/>
    <n v="141.1"/>
    <n v="113.8"/>
    <n v="151.6"/>
    <n v="139.69999999999999"/>
    <n v="158.69999999999999"/>
    <n v="153"/>
    <n v="168.6"/>
    <n v="152.80000000000001"/>
    <n v="147.4"/>
    <n v="152.1"/>
    <s v="NA"/>
    <n v="153.9"/>
    <n v="150.4"/>
    <n v="151.69999999999999"/>
    <n v="155.69999999999999"/>
    <n v="136.30000000000001"/>
    <n v="150.1"/>
    <n v="161.69999999999999"/>
    <n v="142.5"/>
    <n v="148.1"/>
    <n v="151.9"/>
    <n v="1938.6"/>
    <n v="168.6"/>
    <n v="300.20000000000005"/>
    <n v="746.6"/>
    <n v="155.69999999999999"/>
    <n v="136.30000000000001"/>
    <n v="150.1"/>
    <n v="161.69999999999999"/>
  </r>
  <r>
    <x v="1"/>
    <x v="7"/>
    <x v="0"/>
    <x v="85"/>
    <x v="167"/>
    <n v="167.6"/>
    <n v="157"/>
    <n v="149.30000000000001"/>
    <n v="126.3"/>
    <n v="144.4"/>
    <n v="207.8"/>
    <n v="139.1"/>
    <n v="114.8"/>
    <n v="149.5"/>
    <n v="131.1"/>
    <n v="158.5"/>
    <n v="154.4"/>
    <n v="170.8"/>
    <n v="147"/>
    <n v="133.19999999999999"/>
    <n v="144.9"/>
    <n v="153.9"/>
    <n v="153.9"/>
    <n v="135.1"/>
    <n v="140.1"/>
    <n v="143.80000000000001"/>
    <n v="126.1"/>
    <n v="137.19999999999999"/>
    <n v="152.1"/>
    <n v="142.1"/>
    <n v="138.4"/>
    <n v="148.19999999999999"/>
    <n v="1945.3999999999999"/>
    <n v="170.8"/>
    <n v="280.2"/>
    <n v="709.6"/>
    <n v="143.80000000000001"/>
    <n v="126.1"/>
    <n v="137.19999999999999"/>
    <n v="152.1"/>
  </r>
  <r>
    <x v="2"/>
    <x v="7"/>
    <x v="0"/>
    <x v="85"/>
    <x v="168"/>
    <n v="167.4"/>
    <n v="154.9"/>
    <n v="150.1"/>
    <n v="129.9"/>
    <n v="143.19999999999999"/>
    <n v="197"/>
    <n v="140.4"/>
    <n v="114.1"/>
    <n v="150.9"/>
    <n v="136.1"/>
    <n v="158.6"/>
    <n v="153.5"/>
    <n v="169.2"/>
    <n v="150.5"/>
    <n v="141.5"/>
    <n v="149.19999999999999"/>
    <n v="153.9"/>
    <n v="153.9"/>
    <n v="144.6"/>
    <n v="146.19999999999999"/>
    <n v="151.19999999999999"/>
    <n v="130.9"/>
    <n v="142.80000000000001"/>
    <n v="156.1"/>
    <n v="142.30000000000001"/>
    <n v="143.4"/>
    <n v="150.19999999999999"/>
    <n v="1940.3999999999999"/>
    <n v="169.2"/>
    <n v="292"/>
    <n v="730.4"/>
    <n v="151.19999999999999"/>
    <n v="130.9"/>
    <n v="142.80000000000001"/>
    <n v="156.1"/>
  </r>
  <r>
    <x v="0"/>
    <x v="7"/>
    <x v="1"/>
    <x v="86"/>
    <x v="169"/>
    <n v="167.5"/>
    <n v="150.9"/>
    <n v="150.9"/>
    <n v="133.69999999999999"/>
    <n v="140.69999999999999"/>
    <n v="165.1"/>
    <n v="141.80000000000001"/>
    <n v="113.1"/>
    <n v="152.80000000000001"/>
    <n v="140.1"/>
    <n v="159.19999999999999"/>
    <n v="149.80000000000001"/>
    <n v="169.4"/>
    <n v="153"/>
    <n v="147.5"/>
    <n v="152.30000000000001"/>
    <s v="NA"/>
    <n v="154.80000000000001"/>
    <n v="152.30000000000001"/>
    <n v="151.80000000000001"/>
    <n v="156.19999999999999"/>
    <n v="136"/>
    <n v="150.4"/>
    <n v="161.9"/>
    <n v="143.4"/>
    <n v="148.4"/>
    <n v="150.4"/>
    <n v="1909.7999999999997"/>
    <n v="169.4"/>
    <n v="300.5"/>
    <n v="750.7"/>
    <n v="156.19999999999999"/>
    <n v="136"/>
    <n v="150.4"/>
    <n v="161.9"/>
  </r>
  <r>
    <x v="1"/>
    <x v="7"/>
    <x v="1"/>
    <x v="86"/>
    <x v="170"/>
    <n v="167.6"/>
    <n v="153.1"/>
    <n v="150.69999999999999"/>
    <n v="127.4"/>
    <n v="143.1"/>
    <n v="181.7"/>
    <n v="139.6"/>
    <n v="114.6"/>
    <n v="150.4"/>
    <n v="131.5"/>
    <n v="159"/>
    <n v="151.69999999999999"/>
    <n v="172"/>
    <n v="147.30000000000001"/>
    <n v="133.5"/>
    <n v="145.19999999999999"/>
    <n v="154.80000000000001"/>
    <n v="154.80000000000001"/>
    <n v="138.9"/>
    <n v="140.4"/>
    <n v="144.4"/>
    <n v="125.2"/>
    <n v="137.69999999999999"/>
    <n v="152.19999999999999"/>
    <n v="143.5"/>
    <n v="138.4"/>
    <n v="147.69999999999999"/>
    <n v="1916.6"/>
    <n v="172"/>
    <n v="280.8"/>
    <n v="716"/>
    <n v="144.4"/>
    <n v="125.2"/>
    <n v="137.69999999999999"/>
    <n v="152.19999999999999"/>
  </r>
  <r>
    <x v="2"/>
    <x v="7"/>
    <x v="1"/>
    <x v="86"/>
    <x v="171"/>
    <n v="167.5"/>
    <n v="151.80000000000001"/>
    <n v="150.80000000000001"/>
    <n v="131.4"/>
    <n v="141.80000000000001"/>
    <n v="170.7"/>
    <n v="141.1"/>
    <n v="113.6"/>
    <n v="152"/>
    <n v="136.5"/>
    <n v="159.1"/>
    <n v="150.5"/>
    <n v="170.1"/>
    <n v="150.80000000000001"/>
    <n v="141.69999999999999"/>
    <n v="149.5"/>
    <n v="154.80000000000001"/>
    <n v="154.80000000000001"/>
    <n v="147.19999999999999"/>
    <n v="146.4"/>
    <n v="151.69999999999999"/>
    <n v="130.30000000000001"/>
    <n v="143.19999999999999"/>
    <n v="156.19999999999999"/>
    <n v="143.4"/>
    <n v="143.6"/>
    <n v="149.1"/>
    <n v="1911.6"/>
    <n v="170.1"/>
    <n v="292.5"/>
    <n v="735.4"/>
    <n v="151.69999999999999"/>
    <n v="130.30000000000001"/>
    <n v="143.19999999999999"/>
    <n v="156.19999999999999"/>
  </r>
  <r>
    <x v="0"/>
    <x v="7"/>
    <x v="2"/>
    <x v="87"/>
    <x v="172"/>
    <n v="166.8"/>
    <n v="147.6"/>
    <n v="151.69999999999999"/>
    <n v="133.30000000000001"/>
    <n v="141.80000000000001"/>
    <n v="152.30000000000001"/>
    <n v="141.80000000000001"/>
    <n v="112.6"/>
    <n v="154"/>
    <n v="140.1"/>
    <n v="160"/>
    <n v="148.19999999999999"/>
    <n v="170.5"/>
    <n v="153.4"/>
    <n v="147.6"/>
    <n v="152.5"/>
    <s v="NA"/>
    <n v="154.5"/>
    <n v="153.4"/>
    <n v="151.5"/>
    <n v="156.69999999999999"/>
    <n v="135.80000000000001"/>
    <n v="151.19999999999999"/>
    <n v="161.19999999999999"/>
    <n v="145.1"/>
    <n v="148.6"/>
    <n v="149.80000000000001"/>
    <n v="1894.5999999999997"/>
    <n v="170.5"/>
    <n v="301"/>
    <n v="753.1"/>
    <n v="156.69999999999999"/>
    <n v="135.80000000000001"/>
    <n v="151.19999999999999"/>
    <n v="161.19999999999999"/>
  </r>
  <r>
    <x v="1"/>
    <x v="7"/>
    <x v="2"/>
    <x v="87"/>
    <x v="173"/>
    <n v="167.5"/>
    <n v="148.9"/>
    <n v="151.1"/>
    <n v="127.5"/>
    <n v="143.30000000000001"/>
    <n v="167"/>
    <n v="139.69999999999999"/>
    <n v="114.4"/>
    <n v="151.5"/>
    <n v="131.9"/>
    <n v="159.1"/>
    <n v="150.1"/>
    <n v="173.3"/>
    <n v="147.69999999999999"/>
    <n v="133.80000000000001"/>
    <n v="145.6"/>
    <n v="154.5"/>
    <n v="154.5"/>
    <n v="141.4"/>
    <n v="140.80000000000001"/>
    <n v="145"/>
    <n v="124.6"/>
    <n v="137.9"/>
    <n v="152.5"/>
    <n v="145.30000000000001"/>
    <n v="138.69999999999999"/>
    <n v="147.30000000000001"/>
    <n v="1898.5"/>
    <n v="173.3"/>
    <n v="281.5"/>
    <n v="720.7"/>
    <n v="145"/>
    <n v="124.6"/>
    <n v="137.9"/>
    <n v="152.5"/>
  </r>
  <r>
    <x v="2"/>
    <x v="7"/>
    <x v="2"/>
    <x v="87"/>
    <x v="174"/>
    <n v="167"/>
    <n v="148.1"/>
    <n v="151.5"/>
    <n v="131.19999999999999"/>
    <n v="142.5"/>
    <n v="157.30000000000001"/>
    <n v="141.1"/>
    <n v="113.2"/>
    <n v="153.19999999999999"/>
    <n v="136.69999999999999"/>
    <n v="159.6"/>
    <n v="148.9"/>
    <n v="171.2"/>
    <n v="151.19999999999999"/>
    <n v="141.9"/>
    <n v="149.80000000000001"/>
    <n v="154.5"/>
    <n v="154.5"/>
    <n v="148.9"/>
    <n v="146.4"/>
    <n v="152.30000000000001"/>
    <n v="129.9"/>
    <n v="143.69999999999999"/>
    <n v="156.1"/>
    <n v="145.19999999999999"/>
    <n v="143.80000000000001"/>
    <n v="148.6"/>
    <n v="1895.4"/>
    <n v="171.2"/>
    <n v="293.10000000000002"/>
    <n v="738.8"/>
    <n v="152.30000000000001"/>
    <n v="129.9"/>
    <n v="143.69999999999999"/>
    <n v="156.1"/>
  </r>
  <r>
    <x v="0"/>
    <x v="7"/>
    <x v="3"/>
    <x v="88"/>
    <x v="175"/>
    <n v="180.45"/>
    <n v="146.9"/>
    <n v="155.6"/>
    <n v="137.1"/>
    <n v="147.30000000000001"/>
    <n v="162.69999999999999"/>
    <n v="150.19999999999999"/>
    <n v="119.8"/>
    <n v="158.69999999999999"/>
    <n v="139.19999999999999"/>
    <n v="160.55000000000001"/>
    <n v="150.1"/>
    <n v="178.39999999999998"/>
    <n v="150.67499999999998"/>
    <n v="140.57500000000002"/>
    <n v="149.17500000000001"/>
    <s v="NA"/>
    <n v="155.6"/>
    <n v="148.4"/>
    <n v="144.82500000000002"/>
    <n v="154.30000000000001"/>
    <n v="135.65"/>
    <n v="144.82499999999999"/>
    <n v="155.72500000000002"/>
    <n v="148.47499999999999"/>
    <n v="144.05000000000001"/>
    <n v="149.85"/>
    <n v="1955.8"/>
    <n v="178.39999999999998"/>
    <n v="291.25"/>
    <n v="741.35000000000014"/>
    <n v="154.30000000000001"/>
    <n v="135.65"/>
    <n v="144.82499999999999"/>
    <n v="155.72500000000002"/>
  </r>
  <r>
    <x v="1"/>
    <x v="7"/>
    <x v="3"/>
    <x v="88"/>
    <x v="176"/>
    <n v="183.6875"/>
    <n v="151.9"/>
    <n v="155.5"/>
    <n v="131.6"/>
    <n v="152.9"/>
    <n v="180"/>
    <n v="150.80000000000001"/>
    <n v="121.2"/>
    <n v="154"/>
    <n v="133.5"/>
    <n v="160.91249999999999"/>
    <n v="153.5"/>
    <n v="179.67500000000001"/>
    <n v="151.41874999999999"/>
    <n v="142.26875000000001"/>
    <n v="150.06875000000002"/>
    <n v="155.6"/>
    <n v="155.6"/>
    <n v="137.1"/>
    <n v="145.83125000000001"/>
    <n v="144.80000000000001"/>
    <n v="138.52500000000001"/>
    <n v="146.55624999999998"/>
    <n v="156.53125"/>
    <n v="149.26874999999998"/>
    <n v="145.38749999999999"/>
    <n v="150.48750000000001"/>
    <n v="1981.3"/>
    <n v="179.67500000000001"/>
    <n v="293.6875"/>
    <n v="733.1875"/>
    <n v="144.80000000000001"/>
    <n v="138.52500000000001"/>
    <n v="146.55624999999998"/>
    <n v="156.53125"/>
  </r>
  <r>
    <x v="2"/>
    <x v="7"/>
    <x v="3"/>
    <x v="88"/>
    <x v="177"/>
    <n v="187.859375"/>
    <n v="148.80000000000001"/>
    <n v="155.6"/>
    <n v="135.1"/>
    <n v="149.9"/>
    <n v="168.6"/>
    <n v="150.4"/>
    <n v="120.3"/>
    <n v="157.1"/>
    <n v="136.80000000000001"/>
    <n v="161.24062499999999"/>
    <n v="151.4"/>
    <n v="181.79374999999999"/>
    <n v="151.47343749999999"/>
    <n v="142.36093750000001"/>
    <n v="150.13593750000001"/>
    <n v="155.6"/>
    <n v="155.6"/>
    <n v="144.1"/>
    <n v="145.68906250000001"/>
    <n v="150.69999999999999"/>
    <n v="139.96250000000001"/>
    <n v="147.27031249999999"/>
    <n v="156.63906250000002"/>
    <n v="150.28593749999999"/>
    <n v="145.78437500000001"/>
    <n v="150.95937499999999"/>
    <n v="1971.8"/>
    <n v="181.79374999999999"/>
    <n v="293.83437500000002"/>
    <n v="741.45937499999991"/>
    <n v="150.69999999999999"/>
    <n v="139.96250000000001"/>
    <n v="147.27031249999999"/>
    <n v="156.63906250000002"/>
  </r>
  <r>
    <x v="0"/>
    <x v="7"/>
    <x v="4"/>
    <x v="89"/>
    <x v="178"/>
    <n v="189.71171874999999"/>
    <n v="151.17500000000001"/>
    <n v="154.45000000000002"/>
    <n v="134.44999999999999"/>
    <n v="149.44999999999999"/>
    <n v="167.17500000000001"/>
    <n v="150.875"/>
    <n v="117.75"/>
    <n v="157.42500000000001"/>
    <n v="137"/>
    <n v="161.41328125000001"/>
    <n v="153.55000000000001"/>
    <n v="182.64218749999998"/>
    <n v="151.67304687499998"/>
    <n v="142.80742187500002"/>
    <n v="150.37617187500001"/>
    <s v="NA"/>
    <n v="155.14999999999998"/>
    <n v="140.80000000000001"/>
    <n v="145.90507812500002"/>
    <n v="150.44999999999999"/>
    <n v="140.68125000000001"/>
    <n v="147.88164062499999"/>
    <n v="156.86757812500002"/>
    <n v="150.73867187499999"/>
    <n v="146.21796875000001"/>
    <n v="151.23671874999999"/>
    <n v="1974.7749999999999"/>
    <n v="182.64218749999998"/>
    <n v="294.48046875"/>
    <n v="738.81171874999995"/>
    <n v="150.44999999999999"/>
    <n v="140.68125000000001"/>
    <n v="147.88164062499999"/>
    <n v="156.86757812500002"/>
  </r>
  <r>
    <x v="1"/>
    <x v="7"/>
    <x v="4"/>
    <x v="89"/>
    <x v="179"/>
    <n v="191.2177734375"/>
    <n v="150.99375000000001"/>
    <n v="154.1875"/>
    <n v="135.16249999999999"/>
    <n v="148.58750000000001"/>
    <n v="163.96875"/>
    <n v="150.89375000000001"/>
    <n v="116.8875"/>
    <n v="158.28125"/>
    <n v="137.875"/>
    <n v="161.53847656249999"/>
    <n v="153.5625"/>
    <n v="183.38398437500001"/>
    <n v="151.73662109374999"/>
    <n v="142.94208984375001"/>
    <n v="150.45302734375002"/>
    <s v="NA"/>
    <n v="155.03749999999999"/>
    <n v="141.72499999999999"/>
    <n v="145.92353515625001"/>
    <n v="151.86249999999998"/>
    <n v="137.8359375"/>
    <n v="148.21298828124998"/>
    <n v="156.95166015625"/>
    <n v="151.10615234374998"/>
    <n v="146.42558593749999"/>
    <n v="151.42402343750001"/>
    <n v="1973.1437499999997"/>
    <n v="183.38398437500001"/>
    <n v="294.6787109375"/>
    <n v="740.2177734375"/>
    <n v="151.86249999999998"/>
    <n v="137.8359375"/>
    <n v="148.21298828124998"/>
    <n v="156.95166015625"/>
  </r>
  <r>
    <x v="2"/>
    <x v="7"/>
    <x v="4"/>
    <x v="89"/>
    <x v="180"/>
    <n v="192.65737304687502"/>
    <n v="151.54218750000001"/>
    <n v="615.33750000000009"/>
    <n v="135.17812499999999"/>
    <n v="148.25937500000001"/>
    <n v="162.81093750000002"/>
    <n v="151.01718750000001"/>
    <n v="116.034375"/>
    <n v="158.57656250000002"/>
    <n v="138.14375000000001"/>
    <n v="161.61293945312499"/>
    <n v="154.10312500000001"/>
    <n v="183.78154296874999"/>
    <n v="151.80241699218749"/>
    <n v="143.08737792968751"/>
    <n v="150.53229980468751"/>
    <s v="NA"/>
    <n v="154.89687499999999"/>
    <n v="141.13124999999999"/>
    <n v="145.98215332031251"/>
    <n v="152.15312499999999"/>
    <n v="137.30429687499998"/>
    <n v="148.44865722656249"/>
    <n v="157.02980957031252"/>
    <n v="151.31120605468749"/>
    <n v="146.58588867187501"/>
    <n v="151.54018554687499"/>
    <n v="2435.5828125000003"/>
    <n v="183.78154296874999"/>
    <n v="294.88979492187502"/>
    <n v="739.90737304687491"/>
    <n v="152.15312499999999"/>
    <n v="137.30429687499998"/>
    <n v="148.44865722656249"/>
    <n v="157.02980957031252"/>
  </r>
  <r>
    <x v="0"/>
    <x v="7"/>
    <x v="5"/>
    <x v="90"/>
    <x v="181"/>
    <n v="190.3"/>
    <n v="149.4"/>
    <n v="153.30000000000001"/>
    <n v="138.19999999999999"/>
    <n v="143.19999999999999"/>
    <n v="148.9"/>
    <n v="150.30000000000001"/>
    <n v="113.2"/>
    <n v="159.80000000000001"/>
    <n v="142.1"/>
    <n v="161.80000000000001"/>
    <n v="152.30000000000001"/>
    <n v="182.4"/>
    <n v="154.69999999999999"/>
    <n v="150"/>
    <n v="154.1"/>
    <s v="NA"/>
    <n v="154.83359374999998"/>
    <n v="144.9"/>
    <n v="151.69999999999999"/>
    <n v="158.19999999999999"/>
    <n v="141.4"/>
    <n v="153.19999999999999"/>
    <n v="161.80000000000001"/>
    <n v="151.19999999999999"/>
    <n v="151.69999999999999"/>
    <n v="152.69999999999999"/>
    <n v="1951"/>
    <n v="182.4"/>
    <n v="304.7"/>
    <n v="754.33359374999986"/>
    <n v="158.19999999999999"/>
    <n v="141.4"/>
    <n v="153.19999999999999"/>
    <n v="161.80000000000001"/>
  </r>
  <r>
    <x v="1"/>
    <x v="7"/>
    <x v="5"/>
    <x v="90"/>
    <x v="182"/>
    <n v="197"/>
    <n v="154.6"/>
    <n v="153.4"/>
    <n v="132.9"/>
    <n v="151.80000000000001"/>
    <n v="171.2"/>
    <n v="152"/>
    <n v="116.3"/>
    <n v="158.80000000000001"/>
    <n v="135.6"/>
    <n v="161.69999999999999"/>
    <n v="157"/>
    <n v="186.7"/>
    <n v="149.1"/>
    <n v="136.6"/>
    <n v="147.19999999999999"/>
    <n v="154.69999999999999"/>
    <n v="154.69999999999999"/>
    <n v="137.1"/>
    <n v="140.4"/>
    <n v="148.1"/>
    <n v="129.30000000000001"/>
    <n v="144.5"/>
    <n v="152.5"/>
    <n v="152.19999999999999"/>
    <n v="142"/>
    <n v="150.80000000000001"/>
    <n v="1994.9999999999998"/>
    <n v="186.7"/>
    <n v="285.7"/>
    <n v="726.39999999999986"/>
    <n v="148.1"/>
    <n v="129.30000000000001"/>
    <n v="144.5"/>
    <n v="152.5"/>
  </r>
  <r>
    <x v="2"/>
    <x v="7"/>
    <x v="5"/>
    <x v="90"/>
    <x v="183"/>
    <n v="192.7"/>
    <n v="151.4"/>
    <n v="153.30000000000001"/>
    <n v="136.30000000000001"/>
    <n v="147.19999999999999"/>
    <n v="156.5"/>
    <n v="150.9"/>
    <n v="114.2"/>
    <n v="159.5"/>
    <n v="139.4"/>
    <n v="161.80000000000001"/>
    <n v="154"/>
    <n v="183.5"/>
    <n v="152.5"/>
    <n v="144.4"/>
    <n v="151.4"/>
    <n v="154.69999999999999"/>
    <n v="154.69999999999999"/>
    <n v="141.9"/>
    <n v="146.4"/>
    <n v="154.4"/>
    <n v="135"/>
    <n v="148.30000000000001"/>
    <n v="156.4"/>
    <n v="151.6"/>
    <n v="147"/>
    <n v="151.80000000000001"/>
    <n v="1966.8000000000002"/>
    <n v="183.5"/>
    <n v="296.89999999999998"/>
    <n v="741.6"/>
    <n v="154.4"/>
    <n v="135"/>
    <n v="148.30000000000001"/>
    <n v="156.4"/>
  </r>
  <r>
    <x v="0"/>
    <x v="7"/>
    <x v="6"/>
    <x v="91"/>
    <x v="181"/>
    <n v="190.3"/>
    <n v="149.4"/>
    <n v="153.30000000000001"/>
    <n v="138.19999999999999"/>
    <n v="143.19999999999999"/>
    <n v="148.9"/>
    <n v="150.30000000000001"/>
    <n v="113.2"/>
    <n v="159.80000000000001"/>
    <n v="142.1"/>
    <n v="161.80000000000001"/>
    <n v="152.30000000000001"/>
    <n v="182.4"/>
    <n v="154.69999999999999"/>
    <n v="150"/>
    <n v="154.1"/>
    <s v="NA"/>
    <n v="154.69999999999999"/>
    <n v="144.9"/>
    <n v="151.69999999999999"/>
    <n v="158.19999999999999"/>
    <n v="141.4"/>
    <n v="153.19999999999999"/>
    <n v="161.80000000000001"/>
    <n v="151.19999999999999"/>
    <n v="151.69999999999999"/>
    <n v="152.69999999999999"/>
    <n v="1951"/>
    <n v="182.4"/>
    <n v="304.7"/>
    <n v="754.2"/>
    <n v="158.19999999999999"/>
    <n v="141.4"/>
    <n v="153.19999999999999"/>
    <n v="161.80000000000001"/>
  </r>
  <r>
    <x v="1"/>
    <x v="7"/>
    <x v="6"/>
    <x v="91"/>
    <x v="182"/>
    <n v="197"/>
    <n v="154.6"/>
    <n v="153.4"/>
    <n v="132.9"/>
    <n v="151.80000000000001"/>
    <n v="171.2"/>
    <n v="152"/>
    <n v="116.3"/>
    <n v="158.80000000000001"/>
    <n v="135.6"/>
    <n v="161.69999999999999"/>
    <n v="157"/>
    <n v="186.7"/>
    <n v="149.1"/>
    <n v="136.6"/>
    <n v="147.19999999999999"/>
    <n v="154.69999999999999"/>
    <n v="154.69999999999999"/>
    <n v="137.1"/>
    <n v="140.4"/>
    <n v="148.1"/>
    <n v="129.30000000000001"/>
    <n v="144.5"/>
    <n v="152.5"/>
    <n v="152.19999999999999"/>
    <n v="142"/>
    <n v="150.80000000000001"/>
    <n v="1994.9999999999998"/>
    <n v="186.7"/>
    <n v="285.7"/>
    <n v="726.39999999999986"/>
    <n v="148.1"/>
    <n v="129.30000000000001"/>
    <n v="144.5"/>
    <n v="152.5"/>
  </r>
  <r>
    <x v="2"/>
    <x v="7"/>
    <x v="6"/>
    <x v="91"/>
    <x v="183"/>
    <n v="192.7"/>
    <n v="151.4"/>
    <n v="153.30000000000001"/>
    <n v="136.30000000000001"/>
    <n v="147.19999999999999"/>
    <n v="156.5"/>
    <n v="150.9"/>
    <n v="114.2"/>
    <n v="159.5"/>
    <n v="139.4"/>
    <n v="161.80000000000001"/>
    <n v="154"/>
    <n v="183.5"/>
    <n v="152.5"/>
    <n v="144.4"/>
    <n v="151.4"/>
    <n v="154.69999999999999"/>
    <n v="154.69999999999999"/>
    <n v="141.9"/>
    <n v="146.4"/>
    <n v="154.4"/>
    <n v="135"/>
    <n v="148.30000000000001"/>
    <n v="156.4"/>
    <n v="151.6"/>
    <n v="147"/>
    <n v="151.80000000000001"/>
    <n v="1966.8000000000002"/>
    <n v="183.5"/>
    <n v="296.89999999999998"/>
    <n v="741.6"/>
    <n v="154.4"/>
    <n v="135"/>
    <n v="148.30000000000001"/>
    <n v="156.4"/>
  </r>
  <r>
    <x v="0"/>
    <x v="7"/>
    <x v="7"/>
    <x v="92"/>
    <x v="184"/>
    <n v="187.2"/>
    <n v="148.4"/>
    <n v="153.30000000000001"/>
    <n v="139.80000000000001"/>
    <n v="146.9"/>
    <n v="171"/>
    <n v="149.9"/>
    <n v="114.2"/>
    <n v="160"/>
    <n v="143.5"/>
    <n v="161.5"/>
    <n v="155.30000000000001"/>
    <n v="180.9"/>
    <n v="155.1"/>
    <n v="149.30000000000001"/>
    <n v="154.30000000000001"/>
    <s v="NA"/>
    <n v="155.1"/>
    <n v="145.80000000000001"/>
    <n v="151.9"/>
    <n v="158.80000000000001"/>
    <n v="143.6"/>
    <n v="152.19999999999999"/>
    <n v="162.69999999999999"/>
    <n v="153.6"/>
    <n v="153"/>
    <n v="154.69999999999999"/>
    <n v="1978.6"/>
    <n v="180.9"/>
    <n v="304.39999999999998"/>
    <n v="759.4"/>
    <n v="158.80000000000001"/>
    <n v="143.6"/>
    <n v="152.19999999999999"/>
    <n v="162.69999999999999"/>
  </r>
  <r>
    <x v="1"/>
    <x v="7"/>
    <x v="7"/>
    <x v="92"/>
    <x v="185"/>
    <n v="197.8"/>
    <n v="154.5"/>
    <n v="153.4"/>
    <n v="133.4"/>
    <n v="154.5"/>
    <n v="191.9"/>
    <n v="151.30000000000001"/>
    <n v="116.8"/>
    <n v="160"/>
    <n v="136.5"/>
    <n v="163.30000000000001"/>
    <n v="159.9"/>
    <n v="187.2"/>
    <n v="150"/>
    <n v="135.19999999999999"/>
    <n v="147.80000000000001"/>
    <n v="155.5"/>
    <n v="155.5"/>
    <n v="138.30000000000001"/>
    <n v="144.5"/>
    <n v="148.69999999999999"/>
    <n v="133.9"/>
    <n v="141.19999999999999"/>
    <n v="155.5"/>
    <n v="155.19999999999999"/>
    <n v="144.80000000000001"/>
    <n v="152.9"/>
    <n v="2024.8999999999999"/>
    <n v="187.2"/>
    <n v="285.2"/>
    <n v="738.3"/>
    <n v="148.69999999999999"/>
    <n v="133.9"/>
    <n v="141.19999999999999"/>
    <n v="155.5"/>
  </r>
  <r>
    <x v="2"/>
    <x v="7"/>
    <x v="7"/>
    <x v="92"/>
    <x v="186"/>
    <n v="190.9"/>
    <n v="150.80000000000001"/>
    <n v="153.30000000000001"/>
    <n v="137.4"/>
    <n v="150.4"/>
    <n v="178.1"/>
    <n v="150.4"/>
    <n v="115.1"/>
    <n v="160"/>
    <n v="140.6"/>
    <n v="162.30000000000001"/>
    <n v="157"/>
    <n v="182.6"/>
    <n v="153.1"/>
    <n v="143.4"/>
    <n v="151.69999999999999"/>
    <n v="155.5"/>
    <n v="155.5"/>
    <n v="143"/>
    <n v="148.4"/>
    <n v="155"/>
    <n v="138.5"/>
    <n v="146"/>
    <n v="158.5"/>
    <n v="154.30000000000001"/>
    <n v="149"/>
    <n v="153.9"/>
    <n v="1995.1999999999998"/>
    <n v="182.6"/>
    <n v="296.5"/>
    <n v="750.2"/>
    <n v="155"/>
    <n v="138.5"/>
    <n v="146"/>
    <n v="158.5"/>
  </r>
  <r>
    <x v="0"/>
    <x v="7"/>
    <x v="8"/>
    <x v="93"/>
    <x v="187"/>
    <n v="183.9"/>
    <n v="149.5"/>
    <n v="153.4"/>
    <n v="140.4"/>
    <n v="147"/>
    <n v="178.8"/>
    <n v="149.30000000000001"/>
    <n v="115.1"/>
    <n v="160"/>
    <n v="145.4"/>
    <n v="161.6"/>
    <n v="156.1"/>
    <n v="182.9"/>
    <n v="155.4"/>
    <n v="149.9"/>
    <n v="154.6"/>
    <s v="NA"/>
    <n v="156.30000000000001"/>
    <n v="146.4"/>
    <n v="151.6"/>
    <n v="159.1"/>
    <n v="144.6"/>
    <n v="152.80000000000001"/>
    <n v="161.1"/>
    <n v="157.4"/>
    <n v="153.69999999999999"/>
    <n v="155.4"/>
    <n v="1987.3999999999999"/>
    <n v="182.9"/>
    <n v="305.3"/>
    <n v="765.40000000000009"/>
    <n v="159.1"/>
    <n v="144.6"/>
    <n v="152.80000000000001"/>
    <n v="161.1"/>
  </r>
  <r>
    <x v="1"/>
    <x v="7"/>
    <x v="8"/>
    <x v="93"/>
    <x v="188"/>
    <n v="193.1"/>
    <n v="157.30000000000001"/>
    <n v="153.9"/>
    <n v="134.4"/>
    <n v="155.4"/>
    <n v="202"/>
    <n v="150.80000000000001"/>
    <n v="118.9"/>
    <n v="160.9"/>
    <n v="137.69999999999999"/>
    <n v="164.4"/>
    <n v="161.30000000000001"/>
    <n v="188.7"/>
    <n v="150.19999999999999"/>
    <n v="136.30000000000001"/>
    <n v="148.1"/>
    <n v="156.30000000000001"/>
    <n v="156.30000000000001"/>
    <n v="137.19999999999999"/>
    <n v="145.4"/>
    <n v="150"/>
    <n v="135.1"/>
    <n v="141.80000000000001"/>
    <n v="154.9"/>
    <n v="159.80000000000001"/>
    <n v="146"/>
    <n v="154"/>
    <n v="2041.6000000000001"/>
    <n v="188.7"/>
    <n v="286.5"/>
    <n v="744.7"/>
    <n v="150"/>
    <n v="135.1"/>
    <n v="141.80000000000001"/>
    <n v="154.9"/>
  </r>
  <r>
    <x v="2"/>
    <x v="7"/>
    <x v="8"/>
    <x v="93"/>
    <x v="189"/>
    <n v="187.1"/>
    <n v="152.5"/>
    <n v="153.6"/>
    <n v="138.19999999999999"/>
    <n v="150.9"/>
    <n v="186.7"/>
    <n v="149.80000000000001"/>
    <n v="116.4"/>
    <n v="160.30000000000001"/>
    <n v="142.19999999999999"/>
    <n v="162.9"/>
    <n v="158"/>
    <n v="184.4"/>
    <n v="153.4"/>
    <n v="144.30000000000001"/>
    <n v="152"/>
    <n v="156.30000000000001"/>
    <n v="156.30000000000001"/>
    <n v="142.9"/>
    <n v="148.69999999999999"/>
    <n v="155.6"/>
    <n v="139.6"/>
    <n v="146.6"/>
    <n v="157.5"/>
    <n v="158.4"/>
    <n v="150"/>
    <n v="154.69999999999999"/>
    <n v="2007"/>
    <n v="184.4"/>
    <n v="297.70000000000005"/>
    <n v="756.30000000000007"/>
    <n v="155.6"/>
    <n v="139.6"/>
    <n v="146.6"/>
    <n v="157.5"/>
  </r>
  <r>
    <x v="0"/>
    <x v="7"/>
    <x v="9"/>
    <x v="94"/>
    <x v="190"/>
    <n v="186.3"/>
    <n v="159.19999999999999"/>
    <n v="153.6"/>
    <n v="142.6"/>
    <n v="147.19999999999999"/>
    <n v="200.6"/>
    <n v="150.30000000000001"/>
    <n v="115.3"/>
    <n v="160.9"/>
    <n v="147.4"/>
    <n v="161.9"/>
    <n v="159.6"/>
    <n v="182.7"/>
    <n v="155.69999999999999"/>
    <n v="150.6"/>
    <n v="155"/>
    <s v="NA"/>
    <n v="156.5"/>
    <n v="146.80000000000001"/>
    <n v="152"/>
    <n v="159.5"/>
    <n v="146.4"/>
    <n v="152.4"/>
    <n v="162.5"/>
    <n v="156.19999999999999"/>
    <n v="154.30000000000001"/>
    <n v="157.5"/>
    <n v="2030.9"/>
    <n v="182.7"/>
    <n v="306.29999999999995"/>
    <n v="765.8"/>
    <n v="159.5"/>
    <n v="146.4"/>
    <n v="152.4"/>
    <n v="162.5"/>
  </r>
  <r>
    <x v="1"/>
    <x v="7"/>
    <x v="9"/>
    <x v="94"/>
    <x v="191"/>
    <n v="193.7"/>
    <n v="164.8"/>
    <n v="153.69999999999999"/>
    <n v="135.69999999999999"/>
    <n v="155.69999999999999"/>
    <n v="226"/>
    <n v="152.19999999999999"/>
    <n v="118.1"/>
    <n v="161.30000000000001"/>
    <n v="139.19999999999999"/>
    <n v="164.8"/>
    <n v="164.4"/>
    <n v="188.7"/>
    <n v="150.5"/>
    <n v="136.1"/>
    <n v="148.30000000000001"/>
    <n v="156.5"/>
    <n v="156.5"/>
    <n v="137.1"/>
    <n v="145.1"/>
    <n v="151"/>
    <n v="135.4"/>
    <n v="142"/>
    <n v="155.69999999999999"/>
    <n v="158.1"/>
    <n v="146.19999999999999"/>
    <n v="155.19999999999999"/>
    <n v="2080.1999999999998"/>
    <n v="188.7"/>
    <n v="286.60000000000002"/>
    <n v="743"/>
    <n v="151"/>
    <n v="135.4"/>
    <n v="142"/>
    <n v="155.69999999999999"/>
  </r>
  <r>
    <x v="2"/>
    <x v="7"/>
    <x v="9"/>
    <x v="94"/>
    <x v="192"/>
    <n v="188.9"/>
    <n v="161.4"/>
    <n v="153.6"/>
    <n v="140.1"/>
    <n v="151.19999999999999"/>
    <n v="209.2"/>
    <n v="150.9"/>
    <n v="116.2"/>
    <n v="161"/>
    <n v="144"/>
    <n v="163.19999999999999"/>
    <n v="161.4"/>
    <n v="184.3"/>
    <n v="153.69999999999999"/>
    <n v="144.6"/>
    <n v="152.30000000000001"/>
    <n v="156.5"/>
    <n v="156.5"/>
    <n v="143.1"/>
    <n v="148.69999999999999"/>
    <n v="156.30000000000001"/>
    <n v="140.6"/>
    <n v="146.5"/>
    <n v="158.5"/>
    <n v="157"/>
    <n v="150.4"/>
    <n v="156.4"/>
    <n v="2048.6000000000004"/>
    <n v="184.3"/>
    <n v="298.29999999999995"/>
    <n v="755.69999999999993"/>
    <n v="156.30000000000001"/>
    <n v="140.6"/>
    <n v="146.5"/>
    <n v="158.5"/>
  </r>
  <r>
    <x v="0"/>
    <x v="7"/>
    <x v="11"/>
    <x v="95"/>
    <x v="193"/>
    <n v="188.6"/>
    <n v="171.6"/>
    <n v="153.80000000000001"/>
    <n v="145.4"/>
    <n v="146.5"/>
    <n v="222.2"/>
    <n v="155.9"/>
    <n v="114.9"/>
    <n v="162"/>
    <n v="150"/>
    <n v="162.69999999999999"/>
    <n v="163.4"/>
    <n v="183.4"/>
    <n v="156.30000000000001"/>
    <n v="151"/>
    <n v="155.5"/>
    <s v="NA"/>
    <n v="158"/>
    <n v="147.5"/>
    <n v="152.80000000000001"/>
    <n v="160.4"/>
    <n v="146.1"/>
    <n v="153.6"/>
    <n v="161.6"/>
    <n v="156.19999999999999"/>
    <n v="154.5"/>
    <n v="159.80000000000001"/>
    <n v="2082.4"/>
    <n v="183.4"/>
    <n v="307.3"/>
    <n v="769"/>
    <n v="160.4"/>
    <n v="146.1"/>
    <n v="153.6"/>
    <n v="161.6"/>
  </r>
  <r>
    <x v="1"/>
    <x v="7"/>
    <x v="11"/>
    <x v="95"/>
    <x v="194"/>
    <n v="195.5"/>
    <n v="176.9"/>
    <n v="153.9"/>
    <n v="138"/>
    <n v="150.5"/>
    <n v="245.3"/>
    <n v="158.69999999999999"/>
    <n v="117.2"/>
    <n v="161.4"/>
    <n v="141.5"/>
    <n v="165.1"/>
    <n v="167"/>
    <n v="188.8"/>
    <n v="151.1"/>
    <n v="136.4"/>
    <n v="148.80000000000001"/>
    <n v="158"/>
    <n v="158"/>
    <n v="137.30000000000001"/>
    <n v="145.1"/>
    <n v="152"/>
    <n v="135.19999999999999"/>
    <n v="144.4"/>
    <n v="156.4"/>
    <n v="157.9"/>
    <n v="146.6"/>
    <n v="156.69999999999999"/>
    <n v="2120.6999999999998"/>
    <n v="188.8"/>
    <n v="287.5"/>
    <n v="744.9"/>
    <n v="152"/>
    <n v="135.19999999999999"/>
    <n v="144.4"/>
    <n v="156.4"/>
  </r>
  <r>
    <x v="2"/>
    <x v="7"/>
    <x v="11"/>
    <x v="95"/>
    <x v="195"/>
    <n v="191"/>
    <n v="173.6"/>
    <n v="153.80000000000001"/>
    <n v="142.69999999999999"/>
    <n v="148.4"/>
    <n v="230"/>
    <n v="156.80000000000001"/>
    <n v="115.7"/>
    <n v="161.80000000000001"/>
    <n v="146.5"/>
    <n v="163.80000000000001"/>
    <n v="164.7"/>
    <n v="184.8"/>
    <n v="154.30000000000001"/>
    <n v="144.9"/>
    <n v="152.80000000000001"/>
    <n v="158"/>
    <n v="158"/>
    <n v="143.6"/>
    <n v="149.19999999999999"/>
    <n v="157.19999999999999"/>
    <n v="140.4"/>
    <n v="148.4"/>
    <n v="158.6"/>
    <n v="156.9"/>
    <n v="150.69999999999999"/>
    <n v="158.4"/>
    <n v="2095.6"/>
    <n v="184.8"/>
    <n v="299.20000000000005"/>
    <n v="758.40000000000009"/>
    <n v="157.19999999999999"/>
    <n v="140.4"/>
    <n v="148.4"/>
    <n v="158.6"/>
  </r>
  <r>
    <x v="0"/>
    <x v="7"/>
    <x v="12"/>
    <x v="96"/>
    <x v="196"/>
    <n v="188.5"/>
    <n v="173.4"/>
    <n v="154"/>
    <n v="150"/>
    <n v="145.9"/>
    <n v="225.2"/>
    <n v="159.5"/>
    <n v="114.4"/>
    <n v="163.5"/>
    <n v="153.4"/>
    <n v="163.6"/>
    <n v="164.5"/>
    <n v="183.6"/>
    <n v="157"/>
    <n v="151.6"/>
    <n v="156.30000000000001"/>
    <s v="NA"/>
    <n v="158.4"/>
    <n v="148.69999999999999"/>
    <n v="153.4"/>
    <n v="161.6"/>
    <n v="146.4"/>
    <n v="153.9"/>
    <n v="162.9"/>
    <n v="156.6"/>
    <n v="155.19999999999999"/>
    <n v="160.69999999999999"/>
    <n v="2100.5"/>
    <n v="183.6"/>
    <n v="308.60000000000002"/>
    <n v="772.3"/>
    <n v="161.6"/>
    <n v="146.4"/>
    <n v="153.9"/>
    <n v="162.9"/>
  </r>
  <r>
    <x v="1"/>
    <x v="7"/>
    <x v="12"/>
    <x v="96"/>
    <x v="197"/>
    <n v="195.7"/>
    <n v="178.3"/>
    <n v="154.19999999999999"/>
    <n v="140.69999999999999"/>
    <n v="149.69999999999999"/>
    <n v="240.9"/>
    <n v="161.5"/>
    <n v="117.1"/>
    <n v="161.9"/>
    <n v="143.30000000000001"/>
    <n v="166.1"/>
    <n v="167"/>
    <n v="190.2"/>
    <n v="151.9"/>
    <n v="136.69999999999999"/>
    <n v="149.6"/>
    <n v="158.4"/>
    <n v="158.4"/>
    <n v="137.9"/>
    <n v="145.5"/>
    <n v="152.9"/>
    <n v="135.5"/>
    <n v="144.30000000000001"/>
    <n v="156.9"/>
    <n v="157.9"/>
    <n v="146.9"/>
    <n v="156.9"/>
    <n v="2125.4"/>
    <n v="190.2"/>
    <n v="288.60000000000002"/>
    <n v="746.6"/>
    <n v="152.9"/>
    <n v="135.5"/>
    <n v="144.30000000000001"/>
    <n v="156.9"/>
  </r>
  <r>
    <x v="2"/>
    <x v="7"/>
    <x v="12"/>
    <x v="96"/>
    <x v="190"/>
    <n v="191"/>
    <n v="175.3"/>
    <n v="154.1"/>
    <n v="146.6"/>
    <n v="147.69999999999999"/>
    <n v="230.5"/>
    <n v="160.19999999999999"/>
    <n v="115.3"/>
    <n v="163"/>
    <n v="149.19999999999999"/>
    <n v="164.8"/>
    <n v="165.4"/>
    <n v="185.4"/>
    <n v="155"/>
    <n v="145.4"/>
    <n v="153.6"/>
    <n v="158.4"/>
    <n v="158.4"/>
    <n v="144.6"/>
    <n v="149.69999999999999"/>
    <n v="158.30000000000001"/>
    <n v="140.69999999999999"/>
    <n v="148.5"/>
    <n v="159.4"/>
    <n v="157.1"/>
    <n v="151.19999999999999"/>
    <n v="158.9"/>
    <n v="2109.1"/>
    <n v="185.4"/>
    <n v="300.39999999999998"/>
    <n v="761"/>
    <n v="158.30000000000001"/>
    <n v="140.69999999999999"/>
    <n v="148.5"/>
    <n v="159.4"/>
  </r>
  <r>
    <x v="0"/>
    <x v="8"/>
    <x v="0"/>
    <x v="97"/>
    <x v="198"/>
    <n v="187.5"/>
    <n v="173.4"/>
    <n v="154"/>
    <n v="154.80000000000001"/>
    <n v="147"/>
    <n v="187.8"/>
    <n v="159.5"/>
    <n v="113.8"/>
    <n v="164.5"/>
    <n v="156.1"/>
    <n v="164.3"/>
    <n v="159.6"/>
    <n v="184.6"/>
    <n v="157.5"/>
    <n v="152.4"/>
    <n v="156.80000000000001"/>
    <s v="NA"/>
    <n v="157.69999999999999"/>
    <n v="150.9"/>
    <n v="153.9"/>
    <n v="162.5"/>
    <n v="147.5"/>
    <n v="155.1"/>
    <n v="163.5"/>
    <n v="156.19999999999999"/>
    <n v="155.9"/>
    <n v="158.5"/>
    <n v="2065.6999999999998"/>
    <n v="184.6"/>
    <n v="309.89999999999998"/>
    <n v="774.6"/>
    <n v="162.5"/>
    <n v="147.5"/>
    <n v="155.1"/>
    <n v="163.5"/>
  </r>
  <r>
    <x v="1"/>
    <x v="8"/>
    <x v="0"/>
    <x v="97"/>
    <x v="199"/>
    <n v="194.8"/>
    <n v="178.4"/>
    <n v="154.4"/>
    <n v="144.1"/>
    <n v="152.6"/>
    <n v="206.8"/>
    <n v="162.1"/>
    <n v="116.3"/>
    <n v="163"/>
    <n v="145.9"/>
    <n v="167.2"/>
    <n v="163.4"/>
    <n v="191.8"/>
    <n v="152.5"/>
    <n v="137.30000000000001"/>
    <n v="150.19999999999999"/>
    <n v="157.69999999999999"/>
    <n v="157.69999999999999"/>
    <n v="142.9"/>
    <n v="145.69999999999999"/>
    <n v="154.1"/>
    <n v="136.9"/>
    <n v="145.4"/>
    <n v="156.1"/>
    <n v="157.69999999999999"/>
    <n v="147.6"/>
    <n v="156"/>
    <n v="2097"/>
    <n v="191.8"/>
    <n v="289.8"/>
    <n v="751.6"/>
    <n v="154.1"/>
    <n v="136.9"/>
    <n v="145.4"/>
    <n v="156.1"/>
  </r>
  <r>
    <x v="2"/>
    <x v="8"/>
    <x v="0"/>
    <x v="97"/>
    <x v="165"/>
    <n v="190.1"/>
    <n v="175.3"/>
    <n v="154.1"/>
    <n v="150.9"/>
    <n v="149.6"/>
    <n v="194.2"/>
    <n v="160.4"/>
    <n v="114.6"/>
    <n v="164"/>
    <n v="151.80000000000001"/>
    <n v="165.6"/>
    <n v="161"/>
    <n v="186.5"/>
    <n v="155.5"/>
    <n v="146.1"/>
    <n v="154.19999999999999"/>
    <n v="157.69999999999999"/>
    <n v="157.69999999999999"/>
    <n v="147.9"/>
    <n v="150"/>
    <n v="159.30000000000001"/>
    <n v="141.9"/>
    <n v="149.6"/>
    <n v="159.19999999999999"/>
    <n v="156.80000000000001"/>
    <n v="151.9"/>
    <n v="157.30000000000001"/>
    <n v="2076.5"/>
    <n v="186.5"/>
    <n v="301.60000000000002"/>
    <n v="764.30000000000007"/>
    <n v="159.30000000000001"/>
    <n v="141.9"/>
    <n v="149.6"/>
    <n v="159.19999999999999"/>
  </r>
  <r>
    <x v="0"/>
    <x v="8"/>
    <x v="1"/>
    <x v="98"/>
    <x v="164"/>
    <n v="184"/>
    <n v="168"/>
    <n v="154.4"/>
    <n v="163"/>
    <n v="147.80000000000001"/>
    <n v="149.69999999999999"/>
    <n v="158.30000000000001"/>
    <n v="111.8"/>
    <n v="165"/>
    <n v="160"/>
    <n v="165.8"/>
    <n v="154.69999999999999"/>
    <n v="186.5"/>
    <n v="159.1"/>
    <n v="153.9"/>
    <n v="158.4"/>
    <s v="NA"/>
    <n v="159.80000000000001"/>
    <n v="154.4"/>
    <n v="154.80000000000001"/>
    <n v="164.3"/>
    <n v="150.19999999999999"/>
    <n v="157"/>
    <n v="163.6"/>
    <n v="155.19999999999999"/>
    <n v="157.19999999999999"/>
    <n v="156.69999999999999"/>
    <n v="2025.3"/>
    <n v="186.5"/>
    <n v="313"/>
    <n v="781.40000000000009"/>
    <n v="164.3"/>
    <n v="150.19999999999999"/>
    <n v="157"/>
    <n v="163.6"/>
  </r>
  <r>
    <x v="1"/>
    <x v="8"/>
    <x v="1"/>
    <x v="98"/>
    <x v="184"/>
    <n v="191.2"/>
    <n v="169.9"/>
    <n v="155.1"/>
    <n v="151.4"/>
    <n v="154"/>
    <n v="180.2"/>
    <n v="159.80000000000001"/>
    <n v="114.9"/>
    <n v="162.5"/>
    <n v="149.19999999999999"/>
    <n v="169.4"/>
    <n v="160.80000000000001"/>
    <n v="193.3"/>
    <n v="154.19999999999999"/>
    <n v="138.19999999999999"/>
    <n v="151.80000000000001"/>
    <n v="159.80000000000001"/>
    <n v="159.80000000000001"/>
    <n v="149.1"/>
    <n v="146.5"/>
    <n v="156.30000000000001"/>
    <n v="140.5"/>
    <n v="147.30000000000001"/>
    <n v="156.6"/>
    <n v="156.69999999999999"/>
    <n v="149.30000000000001"/>
    <n v="156.5"/>
    <n v="2066"/>
    <n v="193.3"/>
    <n v="292.39999999999998"/>
    <n v="761.39999999999986"/>
    <n v="156.30000000000001"/>
    <n v="140.5"/>
    <n v="147.30000000000001"/>
    <n v="156.6"/>
  </r>
  <r>
    <x v="2"/>
    <x v="8"/>
    <x v="1"/>
    <x v="98"/>
    <x v="168"/>
    <n v="186.5"/>
    <n v="168.7"/>
    <n v="154.69999999999999"/>
    <n v="158.69999999999999"/>
    <n v="150.69999999999999"/>
    <n v="160"/>
    <n v="158.80000000000001"/>
    <n v="112.8"/>
    <n v="164.2"/>
    <n v="155.5"/>
    <n v="167.5"/>
    <n v="156.9"/>
    <n v="188.3"/>
    <n v="157.19999999999999"/>
    <n v="147.4"/>
    <n v="155.80000000000001"/>
    <n v="159.80000000000001"/>
    <n v="159.80000000000001"/>
    <n v="152.4"/>
    <n v="150.9"/>
    <n v="161.30000000000001"/>
    <n v="145.1"/>
    <n v="151.5"/>
    <n v="159.5"/>
    <n v="155.80000000000001"/>
    <n v="153.4"/>
    <n v="156.6"/>
    <n v="2039.3000000000002"/>
    <n v="188.3"/>
    <n v="304.60000000000002"/>
    <n v="772.30000000000007"/>
    <n v="161.30000000000001"/>
    <n v="145.1"/>
    <n v="151.5"/>
    <n v="159.5"/>
  </r>
  <r>
    <x v="0"/>
    <x v="8"/>
    <x v="2"/>
    <x v="99"/>
    <x v="163"/>
    <n v="189.4"/>
    <n v="163.19999999999999"/>
    <n v="154.5"/>
    <n v="168.2"/>
    <n v="150.5"/>
    <n v="141"/>
    <n v="159.19999999999999"/>
    <n v="111.7"/>
    <n v="164"/>
    <n v="160.6"/>
    <n v="166.4"/>
    <n v="154.5"/>
    <n v="186.1"/>
    <n v="159.6"/>
    <n v="154.4"/>
    <n v="158.9"/>
    <s v="-"/>
    <n v="159.9"/>
    <n v="156"/>
    <n v="154.80000000000001"/>
    <n v="164.6"/>
    <n v="151.30000000000001"/>
    <n v="157.80000000000001"/>
    <n v="163.80000000000001"/>
    <n v="153.1"/>
    <n v="157.30000000000001"/>
    <n v="156.69999999999999"/>
    <n v="2025.7"/>
    <n v="186.1"/>
    <n v="314"/>
    <n v="781.09999999999991"/>
    <n v="164.6"/>
    <n v="151.30000000000001"/>
    <n v="157.80000000000001"/>
    <n v="163.80000000000001"/>
  </r>
  <r>
    <x v="1"/>
    <x v="8"/>
    <x v="2"/>
    <x v="99"/>
    <x v="192"/>
    <n v="197.5"/>
    <n v="164.7"/>
    <n v="155.6"/>
    <n v="156.4"/>
    <n v="157.30000000000001"/>
    <n v="166.1"/>
    <n v="161.1"/>
    <n v="114.3"/>
    <n v="162.6"/>
    <n v="150.69999999999999"/>
    <n v="170.3"/>
    <n v="160.4"/>
    <n v="193.5"/>
    <n v="155.1"/>
    <n v="138.69999999999999"/>
    <n v="152.6"/>
    <n v="159.9"/>
    <n v="159.9"/>
    <n v="154.80000000000001"/>
    <n v="147.19999999999999"/>
    <n v="156.9"/>
    <n v="141.69999999999999"/>
    <n v="148.6"/>
    <n v="157.6"/>
    <n v="154.9"/>
    <n v="150"/>
    <n v="156.9"/>
    <n v="2064.4999999999995"/>
    <n v="193.5"/>
    <n v="293.79999999999995"/>
    <n v="766.80000000000007"/>
    <n v="156.9"/>
    <n v="141.69999999999999"/>
    <n v="148.6"/>
    <n v="157.6"/>
  </r>
  <r>
    <x v="2"/>
    <x v="8"/>
    <x v="2"/>
    <x v="99"/>
    <x v="162"/>
    <n v="192.2"/>
    <n v="163.80000000000001"/>
    <n v="154.9"/>
    <n v="163.9"/>
    <n v="153.69999999999999"/>
    <n v="149.5"/>
    <n v="159.80000000000001"/>
    <n v="112.6"/>
    <n v="163.5"/>
    <n v="156.5"/>
    <n v="168.2"/>
    <n v="156.69999999999999"/>
    <n v="188.1"/>
    <n v="157.80000000000001"/>
    <n v="147.9"/>
    <n v="156.4"/>
    <n v="159.9"/>
    <n v="159.9"/>
    <n v="155.5"/>
    <n v="151.19999999999999"/>
    <n v="161.69999999999999"/>
    <n v="146.19999999999999"/>
    <n v="152.6"/>
    <n v="160.19999999999999"/>
    <n v="153.80000000000001"/>
    <n v="153.80000000000001"/>
    <n v="156.80000000000001"/>
    <n v="2039.3999999999999"/>
    <n v="188.1"/>
    <n v="305.70000000000005"/>
    <n v="774.2"/>
    <n v="161.69999999999999"/>
    <n v="146.19999999999999"/>
    <n v="152.6"/>
    <n v="160.19999999999999"/>
  </r>
  <r>
    <x v="0"/>
    <x v="8"/>
    <x v="3"/>
    <x v="100"/>
    <x v="157"/>
    <n v="195.5"/>
    <n v="163.4"/>
    <n v="155"/>
    <n v="175.2"/>
    <n v="160.6"/>
    <n v="135.1"/>
    <n v="161.1"/>
    <n v="112.2"/>
    <n v="164.4"/>
    <n v="161.9"/>
    <n v="166.8"/>
    <n v="155.6"/>
    <n v="186.8"/>
    <n v="160.69999999999999"/>
    <n v="155.1"/>
    <n v="159.9"/>
    <s v="-"/>
    <n v="159.9"/>
    <n v="156"/>
    <n v="155.5"/>
    <n v="165.3"/>
    <n v="151.69999999999999"/>
    <n v="158.6"/>
    <n v="164.1"/>
    <n v="154.6"/>
    <n v="158"/>
    <n v="157.6"/>
    <n v="2049.5"/>
    <n v="186.8"/>
    <n v="315.79999999999995"/>
    <n v="784"/>
    <n v="165.3"/>
    <n v="151.69999999999999"/>
    <n v="158.6"/>
    <n v="164.1"/>
  </r>
  <r>
    <x v="1"/>
    <x v="8"/>
    <x v="3"/>
    <x v="100"/>
    <x v="184"/>
    <n v="202.5"/>
    <n v="166.4"/>
    <n v="156"/>
    <n v="161.4"/>
    <n v="168.8"/>
    <n v="161.6"/>
    <n v="162.80000000000001"/>
    <n v="114.8"/>
    <n v="162.80000000000001"/>
    <n v="151.5"/>
    <n v="171.4"/>
    <n v="162"/>
    <n v="194.4"/>
    <n v="155.9"/>
    <n v="139.30000000000001"/>
    <n v="153.4"/>
    <n v="161.4"/>
    <n v="161.4"/>
    <n v="154.9"/>
    <n v="147.6"/>
    <n v="157.5"/>
    <n v="142.1"/>
    <n v="149.1"/>
    <n v="157.6"/>
    <n v="156.6"/>
    <n v="150.5"/>
    <n v="158"/>
    <n v="2089.6"/>
    <n v="194.4"/>
    <n v="295.20000000000005"/>
    <n v="771"/>
    <n v="157.5"/>
    <n v="142.1"/>
    <n v="149.1"/>
    <n v="157.6"/>
  </r>
  <r>
    <x v="2"/>
    <x v="8"/>
    <x v="3"/>
    <x v="100"/>
    <x v="168"/>
    <n v="198"/>
    <n v="164.6"/>
    <n v="155.4"/>
    <n v="170.1"/>
    <n v="164.4"/>
    <n v="144.1"/>
    <n v="161.69999999999999"/>
    <n v="113.1"/>
    <n v="163.9"/>
    <n v="157.6"/>
    <n v="168.9"/>
    <n v="158"/>
    <n v="188.8"/>
    <n v="158.80000000000001"/>
    <n v="148.5"/>
    <n v="157.30000000000001"/>
    <n v="161.4"/>
    <n v="161.4"/>
    <n v="155.6"/>
    <n v="151.80000000000001"/>
    <n v="162.30000000000001"/>
    <n v="146.6"/>
    <n v="153.19999999999999"/>
    <n v="160.30000000000001"/>
    <n v="155.4"/>
    <n v="154.4"/>
    <n v="157.80000000000001"/>
    <n v="2064.1"/>
    <n v="188.8"/>
    <n v="307.3"/>
    <n v="778.6"/>
    <n v="162.30000000000001"/>
    <n v="146.6"/>
    <n v="153.19999999999999"/>
    <n v="160.30000000000001"/>
  </r>
  <r>
    <x v="0"/>
    <x v="8"/>
    <x v="4"/>
    <x v="101"/>
    <x v="174"/>
    <n v="198.5"/>
    <n v="168.6"/>
    <n v="155.80000000000001"/>
    <n v="184.4"/>
    <n v="162.30000000000001"/>
    <n v="138.4"/>
    <n v="165.1"/>
    <n v="114.3"/>
    <n v="169.7"/>
    <n v="164.6"/>
    <n v="169.8"/>
    <n v="158.69999999999999"/>
    <n v="189.6"/>
    <n v="165.3"/>
    <n v="160.6"/>
    <n v="164.5"/>
    <s v="NA"/>
    <n v="159.9"/>
    <n v="161.69999999999999"/>
    <n v="158.80000000000001"/>
    <n v="169.1"/>
    <n v="153.19999999999999"/>
    <n v="160"/>
    <n v="167.6"/>
    <n v="159.30000000000001"/>
    <n v="161.1"/>
    <n v="161.1"/>
    <n v="2095.2999999999997"/>
    <n v="189.6"/>
    <n v="325.89999999999998"/>
    <n v="800.80000000000007"/>
    <n v="169.1"/>
    <n v="153.19999999999999"/>
    <n v="160"/>
    <n v="167.6"/>
  </r>
  <r>
    <x v="1"/>
    <x v="8"/>
    <x v="4"/>
    <x v="101"/>
    <x v="200"/>
    <n v="204.3"/>
    <n v="173"/>
    <n v="156.5"/>
    <n v="168.8"/>
    <n v="172.5"/>
    <n v="166.5"/>
    <n v="165.9"/>
    <n v="115.9"/>
    <n v="165.2"/>
    <n v="152"/>
    <n v="171.1"/>
    <n v="164.2"/>
    <n v="198.2"/>
    <n v="156.5"/>
    <n v="140.19999999999999"/>
    <n v="154.1"/>
    <n v="161.6"/>
    <n v="161.6"/>
    <n v="155.5"/>
    <n v="150.1"/>
    <n v="160.4"/>
    <n v="145"/>
    <n v="152.6"/>
    <n v="156.6"/>
    <n v="157.5"/>
    <n v="152.30000000000001"/>
    <n v="159.5"/>
    <n v="2124.7000000000003"/>
    <n v="198.2"/>
    <n v="296.7"/>
    <n v="777"/>
    <n v="160.4"/>
    <n v="145"/>
    <n v="152.6"/>
    <n v="156.6"/>
  </r>
  <r>
    <x v="2"/>
    <x v="8"/>
    <x v="4"/>
    <x v="101"/>
    <x v="201"/>
    <n v="200.5"/>
    <n v="170.3"/>
    <n v="156.1"/>
    <n v="178.7"/>
    <n v="167.1"/>
    <n v="147.9"/>
    <n v="165.4"/>
    <n v="114.8"/>
    <n v="168.2"/>
    <n v="159.30000000000001"/>
    <n v="170.4"/>
    <n v="160.69999999999999"/>
    <n v="191.9"/>
    <n v="161.80000000000001"/>
    <n v="152.1"/>
    <n v="160.4"/>
    <n v="161.6"/>
    <n v="161.6"/>
    <n v="159.4"/>
    <n v="154.69999999999999"/>
    <n v="165.8"/>
    <n v="148.9"/>
    <n v="155.80000000000001"/>
    <n v="161.19999999999999"/>
    <n v="158.6"/>
    <n v="156.80000000000001"/>
    <n v="160.4"/>
    <n v="2105.7000000000003"/>
    <n v="191.9"/>
    <n v="313.89999999999998"/>
    <n v="791.09999999999991"/>
    <n v="165.8"/>
    <n v="148.9"/>
    <n v="155.80000000000001"/>
    <n v="161.19999999999999"/>
  </r>
  <r>
    <x v="0"/>
    <x v="8"/>
    <x v="5"/>
    <x v="102"/>
    <x v="167"/>
    <n v="200.1"/>
    <n v="179.3"/>
    <n v="156.1"/>
    <n v="190.4"/>
    <n v="158.6"/>
    <n v="144.69999999999999"/>
    <n v="165.5"/>
    <n v="114.6"/>
    <n v="170"/>
    <n v="165.5"/>
    <n v="171.7"/>
    <n v="160.5"/>
    <n v="189.1"/>
    <n v="165.3"/>
    <n v="159.9"/>
    <n v="164.6"/>
    <s v="NA"/>
    <n v="160.5"/>
    <n v="162.1"/>
    <n v="159.19999999999999"/>
    <n v="169.7"/>
    <n v="154.19999999999999"/>
    <n v="160.4"/>
    <n v="166.8"/>
    <n v="159.4"/>
    <n v="161.5"/>
    <n v="162.1"/>
    <n v="2122.6"/>
    <n v="189.1"/>
    <n v="325.20000000000005"/>
    <n v="802.7"/>
    <n v="169.7"/>
    <n v="154.19999999999999"/>
    <n v="160.4"/>
    <n v="166.8"/>
  </r>
  <r>
    <x v="1"/>
    <x v="8"/>
    <x v="5"/>
    <x v="102"/>
    <x v="202"/>
    <n v="205.5"/>
    <n v="182.8"/>
    <n v="156.5"/>
    <n v="172.2"/>
    <n v="171.5"/>
    <n v="176.2"/>
    <n v="166.9"/>
    <n v="116.1"/>
    <n v="165.5"/>
    <n v="152.30000000000001"/>
    <n v="173.3"/>
    <n v="166.2"/>
    <n v="195.6"/>
    <n v="157.30000000000001"/>
    <n v="140.5"/>
    <n v="154.80000000000001"/>
    <n v="160.5"/>
    <n v="160.5"/>
    <n v="156.1"/>
    <n v="149.80000000000001"/>
    <n v="160.80000000000001"/>
    <n v="147.5"/>
    <n v="150.69999999999999"/>
    <n v="158.1"/>
    <n v="158"/>
    <n v="153.4"/>
    <n v="160.4"/>
    <n v="2154.1999999999998"/>
    <n v="195.6"/>
    <n v="297.8"/>
    <n v="777.80000000000007"/>
    <n v="160.80000000000001"/>
    <n v="147.5"/>
    <n v="150.69999999999999"/>
    <n v="158.1"/>
  </r>
  <r>
    <x v="2"/>
    <x v="8"/>
    <x v="5"/>
    <x v="102"/>
    <x v="203"/>
    <n v="202"/>
    <n v="180.7"/>
    <n v="156.19999999999999"/>
    <n v="183.7"/>
    <n v="164.6"/>
    <n v="155.4"/>
    <n v="166"/>
    <n v="115.1"/>
    <n v="168.5"/>
    <n v="160"/>
    <n v="172.4"/>
    <n v="162.6"/>
    <n v="190.8"/>
    <n v="162.19999999999999"/>
    <n v="151.80000000000001"/>
    <n v="160.69999999999999"/>
    <n v="160.5"/>
    <n v="160.5"/>
    <n v="159.80000000000001"/>
    <n v="154.80000000000001"/>
    <n v="166.3"/>
    <n v="150.69999999999999"/>
    <n v="154.9"/>
    <n v="161.69999999999999"/>
    <n v="158.80000000000001"/>
    <n v="157.6"/>
    <n v="161.30000000000001"/>
    <n v="2133.9"/>
    <n v="190.8"/>
    <n v="314"/>
    <n v="791.50000000000011"/>
    <n v="166.3"/>
    <n v="150.69999999999999"/>
    <n v="154.9"/>
    <n v="161.69999999999999"/>
  </r>
  <r>
    <x v="0"/>
    <x v="8"/>
    <x v="6"/>
    <x v="103"/>
    <x v="174"/>
    <n v="204.5"/>
    <n v="180.4"/>
    <n v="157.1"/>
    <n v="188.7"/>
    <n v="157.69999999999999"/>
    <n v="152.80000000000001"/>
    <n v="163.6"/>
    <n v="113.9"/>
    <n v="169.7"/>
    <n v="166.2"/>
    <n v="171"/>
    <n v="161.69999999999999"/>
    <n v="189.7"/>
    <n v="166"/>
    <n v="161.1"/>
    <n v="165.3"/>
    <s v="NA"/>
    <n v="161.5"/>
    <n v="162.5"/>
    <n v="160.30000000000001"/>
    <n v="170.4"/>
    <n v="157.1"/>
    <n v="160.69999999999999"/>
    <n v="167.2"/>
    <n v="160.4"/>
    <n v="162.80000000000001"/>
    <n v="163.19999999999999"/>
    <n v="2132.4"/>
    <n v="189.7"/>
    <n v="327.10000000000002"/>
    <n v="807.5"/>
    <n v="170.4"/>
    <n v="157.1"/>
    <n v="160.69999999999999"/>
    <n v="167.2"/>
  </r>
  <r>
    <x v="1"/>
    <x v="8"/>
    <x v="6"/>
    <x v="103"/>
    <x v="204"/>
    <n v="210.9"/>
    <n v="185"/>
    <n v="158.19999999999999"/>
    <n v="170.6"/>
    <n v="170.9"/>
    <n v="186.4"/>
    <n v="164.7"/>
    <n v="115.7"/>
    <n v="165.5"/>
    <n v="153.4"/>
    <n v="173.5"/>
    <n v="167.9"/>
    <n v="195.5"/>
    <n v="157.9"/>
    <n v="141.9"/>
    <n v="155.5"/>
    <n v="161.5"/>
    <n v="161.5"/>
    <n v="157.69999999999999"/>
    <n v="150.69999999999999"/>
    <n v="161.5"/>
    <n v="149.5"/>
    <n v="151.19999999999999"/>
    <n v="160.30000000000001"/>
    <n v="159.6"/>
    <n v="155"/>
    <n v="161.80000000000001"/>
    <n v="2171.8000000000002"/>
    <n v="195.5"/>
    <n v="299.8"/>
    <n v="784.5"/>
    <n v="161.5"/>
    <n v="149.5"/>
    <n v="151.19999999999999"/>
    <n v="160.30000000000001"/>
  </r>
  <r>
    <x v="2"/>
    <x v="8"/>
    <x v="6"/>
    <x v="103"/>
    <x v="205"/>
    <n v="206.8"/>
    <n v="182.2"/>
    <n v="157.5"/>
    <n v="182.1"/>
    <n v="163.9"/>
    <n v="164.2"/>
    <n v="164"/>
    <n v="114.5"/>
    <n v="168.3"/>
    <n v="160.9"/>
    <n v="172.2"/>
    <n v="164"/>
    <n v="191.2"/>
    <n v="162.80000000000001"/>
    <n v="153.1"/>
    <n v="161.4"/>
    <n v="161.5"/>
    <n v="161.5"/>
    <n v="160.69999999999999"/>
    <n v="155.80000000000001"/>
    <n v="167"/>
    <n v="153.1"/>
    <n v="155.30000000000001"/>
    <n v="163.19999999999999"/>
    <n v="160.1"/>
    <n v="159"/>
    <n v="162.5"/>
    <n v="2147"/>
    <n v="191.2"/>
    <n v="315.89999999999998"/>
    <n v="797.1"/>
    <n v="167"/>
    <n v="153.1"/>
    <n v="155.30000000000001"/>
    <n v="163.19999999999999"/>
  </r>
  <r>
    <x v="0"/>
    <x v="8"/>
    <x v="7"/>
    <x v="104"/>
    <x v="165"/>
    <n v="202.3"/>
    <n v="176.5"/>
    <n v="157.5"/>
    <n v="190.9"/>
    <n v="155.69999999999999"/>
    <n v="153.9"/>
    <n v="162.80000000000001"/>
    <n v="115.2"/>
    <n v="169.8"/>
    <n v="167.6"/>
    <n v="171.9"/>
    <n v="161.80000000000001"/>
    <n v="190.2"/>
    <n v="167"/>
    <n v="162.6"/>
    <n v="166.3"/>
    <s v="NA"/>
    <n v="162.1"/>
    <n v="163.1"/>
    <n v="160.9"/>
    <n v="171.1"/>
    <n v="157.69999999999999"/>
    <n v="161.1"/>
    <n v="167.5"/>
    <n v="160.30000000000001"/>
    <n v="163.30000000000001"/>
    <n v="163.6"/>
    <n v="2130.8000000000002"/>
    <n v="190.2"/>
    <n v="329.6"/>
    <n v="809.7"/>
    <n v="171.1"/>
    <n v="157.69999999999999"/>
    <n v="161.1"/>
    <n v="167.5"/>
  </r>
  <r>
    <x v="1"/>
    <x v="8"/>
    <x v="7"/>
    <x v="104"/>
    <x v="206"/>
    <n v="207.4"/>
    <n v="174.1"/>
    <n v="159.19999999999999"/>
    <n v="175"/>
    <n v="161.30000000000001"/>
    <n v="183.3"/>
    <n v="164.5"/>
    <n v="120.4"/>
    <n v="166.2"/>
    <n v="154.80000000000001"/>
    <n v="175.1"/>
    <n v="167.3"/>
    <n v="196.5"/>
    <n v="159.80000000000001"/>
    <n v="143.6"/>
    <n v="157.30000000000001"/>
    <n v="162.1"/>
    <n v="162.1"/>
    <n v="160.69999999999999"/>
    <n v="153.19999999999999"/>
    <n v="162.80000000000001"/>
    <n v="150.4"/>
    <n v="153.69999999999999"/>
    <n v="160.4"/>
    <n v="159.6"/>
    <n v="156"/>
    <n v="162.30000000000001"/>
    <n v="2157.9"/>
    <n v="196.5"/>
    <n v="303.39999999999998"/>
    <n v="791.59999999999991"/>
    <n v="162.80000000000001"/>
    <n v="150.4"/>
    <n v="153.69999999999999"/>
    <n v="160.4"/>
  </r>
  <r>
    <x v="2"/>
    <x v="8"/>
    <x v="7"/>
    <x v="104"/>
    <x v="207"/>
    <n v="204"/>
    <n v="172.8"/>
    <n v="158.4"/>
    <n v="188"/>
    <n v="156.80000000000001"/>
    <n v="162.19999999999999"/>
    <n v="164.1"/>
    <n v="119.7"/>
    <n v="168.8"/>
    <n v="162.69999999999999"/>
    <n v="173.9"/>
    <n v="164"/>
    <n v="192.1"/>
    <n v="164.5"/>
    <n v="155.30000000000001"/>
    <n v="163.19999999999999"/>
    <n v="162.1"/>
    <n v="162.1"/>
    <n v="162.6"/>
    <n v="157.5"/>
    <n v="168.4"/>
    <n v="154"/>
    <n v="157.6"/>
    <n v="163.80000000000001"/>
    <n v="160"/>
    <n v="160"/>
    <n v="163.19999999999999"/>
    <n v="2142"/>
    <n v="192.1"/>
    <n v="319.8"/>
    <n v="802.2"/>
    <n v="168.4"/>
    <n v="154"/>
    <n v="157.6"/>
    <n v="163.80000000000001"/>
  </r>
  <r>
    <x v="0"/>
    <x v="8"/>
    <x v="8"/>
    <x v="105"/>
    <x v="193"/>
    <n v="202.1"/>
    <n v="172"/>
    <n v="158"/>
    <n v="195.5"/>
    <n v="152.69999999999999"/>
    <n v="151.4"/>
    <n v="163.9"/>
    <n v="119.3"/>
    <n v="170.1"/>
    <n v="168.3"/>
    <n v="172.8"/>
    <n v="162.1"/>
    <n v="190.5"/>
    <n v="167.7"/>
    <n v="163.6"/>
    <n v="167.1"/>
    <s v="NA"/>
    <n v="162.1"/>
    <n v="163.69999999999999"/>
    <n v="161.30000000000001"/>
    <n v="171.9"/>
    <n v="157.80000000000001"/>
    <n v="162.69999999999999"/>
    <n v="168.5"/>
    <n v="160.19999999999999"/>
    <n v="163.80000000000001"/>
    <n v="164"/>
    <n v="2133.6"/>
    <n v="190.5"/>
    <n v="331.29999999999995"/>
    <n v="811.09999999999991"/>
    <n v="171.9"/>
    <n v="157.80000000000001"/>
    <n v="162.69999999999999"/>
    <n v="168.5"/>
  </r>
  <r>
    <x v="1"/>
    <x v="8"/>
    <x v="8"/>
    <x v="105"/>
    <x v="206"/>
    <n v="207.4"/>
    <n v="174.1"/>
    <n v="159.1"/>
    <n v="175"/>
    <n v="161.19999999999999"/>
    <n v="183.5"/>
    <n v="164.5"/>
    <n v="120.4"/>
    <n v="166.2"/>
    <n v="154.80000000000001"/>
    <n v="175.1"/>
    <n v="167.3"/>
    <n v="196.5"/>
    <n v="159.80000000000001"/>
    <n v="143.6"/>
    <n v="157.4"/>
    <n v="162.1"/>
    <n v="162.1"/>
    <n v="160.80000000000001"/>
    <n v="153.30000000000001"/>
    <n v="162.80000000000001"/>
    <n v="150.5"/>
    <n v="153.9"/>
    <n v="160.30000000000001"/>
    <n v="159.6"/>
    <n v="156"/>
    <n v="162.30000000000001"/>
    <n v="2157.9"/>
    <n v="196.5"/>
    <n v="303.39999999999998"/>
    <n v="791.8"/>
    <n v="162.80000000000001"/>
    <n v="150.5"/>
    <n v="153.9"/>
    <n v="160.30000000000001"/>
  </r>
  <r>
    <x v="2"/>
    <x v="8"/>
    <x v="8"/>
    <x v="105"/>
    <x v="207"/>
    <n v="204"/>
    <n v="172.8"/>
    <n v="158.4"/>
    <n v="188"/>
    <n v="156.69999999999999"/>
    <n v="162.30000000000001"/>
    <n v="164.1"/>
    <n v="119.7"/>
    <n v="168.8"/>
    <n v="162.69999999999999"/>
    <n v="173.9"/>
    <n v="164"/>
    <n v="192.1"/>
    <n v="164.6"/>
    <n v="155.30000000000001"/>
    <n v="163.30000000000001"/>
    <n v="162.1"/>
    <n v="162.1"/>
    <n v="162.6"/>
    <n v="157.5"/>
    <n v="168.4"/>
    <n v="154"/>
    <n v="157.69999999999999"/>
    <n v="163.69999999999999"/>
    <n v="160"/>
    <n v="160"/>
    <n v="163.19999999999999"/>
    <n v="2142"/>
    <n v="192.1"/>
    <n v="319.89999999999998"/>
    <n v="802.2"/>
    <n v="168.4"/>
    <n v="154"/>
    <n v="157.69999999999999"/>
    <n v="163.69999999999999"/>
  </r>
  <r>
    <x v="0"/>
    <x v="8"/>
    <x v="9"/>
    <x v="106"/>
    <x v="208"/>
    <n v="202.5"/>
    <n v="170.1"/>
    <n v="158.4"/>
    <n v="198.8"/>
    <n v="152.6"/>
    <n v="170.4"/>
    <n v="165.2"/>
    <n v="121.6"/>
    <n v="170.6"/>
    <n v="168.8"/>
    <n v="173.6"/>
    <n v="165.5"/>
    <n v="191.2"/>
    <n v="168.9"/>
    <n v="164.8"/>
    <n v="168.3"/>
    <s v="NA"/>
    <n v="163.6"/>
    <n v="165.5"/>
    <n v="162"/>
    <n v="172.5"/>
    <n v="159.5"/>
    <n v="163.19999999999999"/>
    <n v="169"/>
    <n v="161.1"/>
    <n v="164.7"/>
    <n v="166.3"/>
    <n v="2164.1999999999998"/>
    <n v="191.2"/>
    <n v="333.70000000000005"/>
    <n v="816.90000000000009"/>
    <n v="172.5"/>
    <n v="159.5"/>
    <n v="163.19999999999999"/>
    <n v="169"/>
  </r>
  <r>
    <x v="1"/>
    <x v="8"/>
    <x v="9"/>
    <x v="106"/>
    <x v="209"/>
    <n v="208.4"/>
    <n v="173"/>
    <n v="159.19999999999999"/>
    <n v="176.6"/>
    <n v="159.30000000000001"/>
    <n v="214.4"/>
    <n v="165.3"/>
    <n v="122.5"/>
    <n v="166.8"/>
    <n v="155.4"/>
    <n v="175.9"/>
    <n v="171.5"/>
    <n v="197"/>
    <n v="160.80000000000001"/>
    <n v="144.4"/>
    <n v="158.30000000000001"/>
    <n v="163.6"/>
    <n v="163.6"/>
    <n v="162.19999999999999"/>
    <n v="154.30000000000001"/>
    <n v="163.5"/>
    <n v="152.19999999999999"/>
    <n v="155.1"/>
    <n v="160.30000000000001"/>
    <n v="160.30000000000001"/>
    <n v="157"/>
    <n v="164.6"/>
    <n v="2198.4000000000005"/>
    <n v="197"/>
    <n v="305.20000000000005"/>
    <n v="797.4"/>
    <n v="163.5"/>
    <n v="152.19999999999999"/>
    <n v="155.1"/>
    <n v="160.30000000000001"/>
  </r>
  <r>
    <x v="2"/>
    <x v="8"/>
    <x v="9"/>
    <x v="106"/>
    <x v="210"/>
    <n v="204.6"/>
    <n v="171.2"/>
    <n v="158.69999999999999"/>
    <n v="190.6"/>
    <n v="155.69999999999999"/>
    <n v="185.3"/>
    <n v="165.2"/>
    <n v="121.9"/>
    <n v="169.3"/>
    <n v="163.19999999999999"/>
    <n v="174.7"/>
    <n v="167.7"/>
    <n v="192.7"/>
    <n v="165.7"/>
    <n v="156.30000000000001"/>
    <n v="164.3"/>
    <n v="163.6"/>
    <n v="163.6"/>
    <n v="164.2"/>
    <n v="158.4"/>
    <n v="169.1"/>
    <n v="155.69999999999999"/>
    <n v="158.6"/>
    <n v="163.9"/>
    <n v="160.80000000000001"/>
    <n v="161"/>
    <n v="165.5"/>
    <n v="2175.5"/>
    <n v="192.7"/>
    <n v="322"/>
    <n v="808"/>
    <n v="169.1"/>
    <n v="155.69999999999999"/>
    <n v="158.6"/>
    <n v="163.9"/>
  </r>
  <r>
    <x v="0"/>
    <x v="8"/>
    <x v="11"/>
    <x v="107"/>
    <x v="187"/>
    <n v="199.8"/>
    <n v="171.5"/>
    <n v="159.1"/>
    <n v="198.4"/>
    <n v="153.19999999999999"/>
    <n v="183.9"/>
    <n v="165.4"/>
    <n v="122.1"/>
    <n v="170.8"/>
    <n v="169.1"/>
    <n v="174.3"/>
    <n v="167.5"/>
    <n v="191.4"/>
    <n v="170.4"/>
    <n v="166"/>
    <n v="169.8"/>
    <s v="NA"/>
    <n v="164.2"/>
    <n v="165.3"/>
    <n v="162.9"/>
    <n v="173.4"/>
    <n v="158.9"/>
    <n v="163.80000000000001"/>
    <n v="169.3"/>
    <n v="162.4"/>
    <n v="165.2"/>
    <n v="167.6"/>
    <n v="2182"/>
    <n v="191.4"/>
    <n v="336.4"/>
    <n v="820"/>
    <n v="173.4"/>
    <n v="158.9"/>
    <n v="163.80000000000001"/>
    <n v="169.3"/>
  </r>
  <r>
    <x v="1"/>
    <x v="8"/>
    <x v="11"/>
    <x v="107"/>
    <x v="211"/>
    <n v="204.9"/>
    <n v="175.4"/>
    <n v="159.6"/>
    <n v="175.8"/>
    <n v="160.30000000000001"/>
    <n v="229.1"/>
    <n v="165.1"/>
    <n v="123.1"/>
    <n v="167.2"/>
    <n v="156.1"/>
    <n v="176.8"/>
    <n v="173.5"/>
    <n v="197"/>
    <n v="162.30000000000001"/>
    <n v="145.30000000000001"/>
    <n v="159.69999999999999"/>
    <n v="164.2"/>
    <n v="164.2"/>
    <n v="161.6"/>
    <n v="155.19999999999999"/>
    <n v="164.2"/>
    <n v="151.19999999999999"/>
    <n v="156.69999999999999"/>
    <n v="160.80000000000001"/>
    <n v="161.80000000000001"/>
    <n v="157.30000000000001"/>
    <n v="165.6"/>
    <n v="2217.8999999999996"/>
    <n v="197"/>
    <n v="307.60000000000002"/>
    <n v="800.09999999999991"/>
    <n v="164.2"/>
    <n v="151.19999999999999"/>
    <n v="156.69999999999999"/>
    <n v="160.80000000000001"/>
  </r>
  <r>
    <x v="2"/>
    <x v="8"/>
    <x v="11"/>
    <x v="107"/>
    <x v="181"/>
    <n v="201.6"/>
    <n v="173"/>
    <n v="159.30000000000001"/>
    <n v="190.1"/>
    <n v="156.5"/>
    <n v="199.2"/>
    <n v="165.3"/>
    <n v="122.4"/>
    <n v="169.6"/>
    <n v="163.69999999999999"/>
    <n v="175.5"/>
    <n v="169.7"/>
    <n v="192.9"/>
    <n v="167.2"/>
    <n v="157.4"/>
    <n v="165.8"/>
    <n v="164.2"/>
    <n v="164.2"/>
    <n v="163.9"/>
    <n v="159.30000000000001"/>
    <n v="169.9"/>
    <n v="154.80000000000001"/>
    <n v="159.80000000000001"/>
    <n v="164.3"/>
    <n v="162.19999999999999"/>
    <n v="161.4"/>
    <n v="166.7"/>
    <n v="2194.1"/>
    <n v="192.9"/>
    <n v="324.60000000000002"/>
    <n v="811"/>
    <n v="169.9"/>
    <n v="154.80000000000001"/>
    <n v="159.80000000000001"/>
    <n v="164.3"/>
  </r>
  <r>
    <x v="0"/>
    <x v="8"/>
    <x v="12"/>
    <x v="108"/>
    <x v="210"/>
    <n v="197"/>
    <n v="176.5"/>
    <n v="159.80000000000001"/>
    <n v="195.8"/>
    <n v="152"/>
    <n v="172.3"/>
    <n v="164.5"/>
    <n v="120.6"/>
    <n v="171.7"/>
    <n v="169.7"/>
    <n v="175.1"/>
    <n v="165.8"/>
    <n v="190.8"/>
    <n v="171.8"/>
    <n v="167.3"/>
    <n v="171.2"/>
    <s v="NA"/>
    <n v="163.4"/>
    <n v="165.6"/>
    <n v="163.9"/>
    <n v="174"/>
    <n v="160.1"/>
    <n v="164.5"/>
    <n v="169.7"/>
    <n v="162.80000000000001"/>
    <n v="166"/>
    <n v="167"/>
    <n v="2168.1999999999998"/>
    <n v="190.8"/>
    <n v="339.1"/>
    <n v="821.7"/>
    <n v="174"/>
    <n v="160.1"/>
    <n v="164.5"/>
    <n v="169.7"/>
  </r>
  <r>
    <x v="1"/>
    <x v="8"/>
    <x v="12"/>
    <x v="108"/>
    <x v="185"/>
    <n v="202.2"/>
    <n v="180"/>
    <n v="160"/>
    <n v="173.5"/>
    <n v="158.30000000000001"/>
    <n v="219.5"/>
    <n v="164.2"/>
    <n v="121.9"/>
    <n v="168.2"/>
    <n v="156.5"/>
    <n v="178.2"/>
    <n v="172.2"/>
    <n v="196.8"/>
    <n v="163.30000000000001"/>
    <n v="146.69999999999999"/>
    <n v="160.69999999999999"/>
    <n v="163.4"/>
    <n v="163.4"/>
    <n v="161.69999999999999"/>
    <n v="156"/>
    <n v="165.1"/>
    <n v="151.80000000000001"/>
    <n v="157.6"/>
    <n v="160.6"/>
    <n v="162.4"/>
    <n v="157.80000000000001"/>
    <n v="165.2"/>
    <n v="2206.3000000000002"/>
    <n v="196.8"/>
    <n v="310"/>
    <n v="801.3"/>
    <n v="165.1"/>
    <n v="151.80000000000001"/>
    <n v="157.6"/>
    <n v="160.6"/>
  </r>
  <r>
    <x v="2"/>
    <x v="8"/>
    <x v="12"/>
    <x v="108"/>
    <x v="177"/>
    <n v="198.8"/>
    <n v="177.9"/>
    <n v="159.9"/>
    <n v="187.6"/>
    <n v="154.9"/>
    <n v="188.3"/>
    <n v="164.4"/>
    <n v="121"/>
    <n v="170.5"/>
    <n v="164.2"/>
    <n v="176.5"/>
    <n v="168.2"/>
    <n v="192.4"/>
    <n v="168.5"/>
    <n v="158.69999999999999"/>
    <n v="167"/>
    <n v="163.4"/>
    <n v="163.4"/>
    <n v="164.1"/>
    <n v="160.19999999999999"/>
    <n v="170.6"/>
    <n v="155.69999999999999"/>
    <n v="160.6"/>
    <n v="164.4"/>
    <n v="162.6"/>
    <n v="162"/>
    <n v="166.2"/>
    <n v="2180.9"/>
    <n v="192.4"/>
    <n v="327.2"/>
    <n v="812.3"/>
    <n v="170.6"/>
    <n v="155.69999999999999"/>
    <n v="160.6"/>
    <n v="164.4"/>
  </r>
  <r>
    <x v="0"/>
    <x v="9"/>
    <x v="0"/>
    <x v="109"/>
    <x v="212"/>
    <n v="196.9"/>
    <n v="178"/>
    <n v="160.5"/>
    <n v="192.6"/>
    <n v="151.19999999999999"/>
    <n v="159.19999999999999"/>
    <n v="164"/>
    <n v="119.3"/>
    <n v="173.3"/>
    <n v="169.8"/>
    <n v="175.8"/>
    <n v="164.1"/>
    <n v="190.7"/>
    <n v="173.2"/>
    <n v="169.3"/>
    <n v="172.7"/>
    <s v="NA"/>
    <n v="164.5"/>
    <n v="165.8"/>
    <n v="164.9"/>
    <n v="174.7"/>
    <n v="160.80000000000001"/>
    <n v="164.9"/>
    <n v="169.9"/>
    <n v="163.19999999999999"/>
    <n v="166.6"/>
    <n v="166.4"/>
    <n v="2153"/>
    <n v="190.7"/>
    <n v="342.5"/>
    <n v="825.00000000000011"/>
    <n v="174.7"/>
    <n v="160.80000000000001"/>
    <n v="164.9"/>
    <n v="169.9"/>
  </r>
  <r>
    <x v="1"/>
    <x v="9"/>
    <x v="0"/>
    <x v="109"/>
    <x v="213"/>
    <n v="202.1"/>
    <n v="180.1"/>
    <n v="160.4"/>
    <n v="171"/>
    <n v="156.5"/>
    <n v="203.6"/>
    <n v="163.80000000000001"/>
    <n v="121.3"/>
    <n v="169.8"/>
    <n v="156.6"/>
    <n v="179"/>
    <n v="170.3"/>
    <n v="196.4"/>
    <n v="164.7"/>
    <n v="148.5"/>
    <n v="162.19999999999999"/>
    <n v="164.5"/>
    <n v="164.5"/>
    <n v="161.6"/>
    <n v="156.80000000000001"/>
    <n v="166.1"/>
    <n v="152.69999999999999"/>
    <n v="158.4"/>
    <n v="161"/>
    <n v="162.80000000000001"/>
    <n v="158.6"/>
    <n v="165"/>
    <n v="2186.6999999999998"/>
    <n v="196.4"/>
    <n v="313.2"/>
    <n v="804.30000000000007"/>
    <n v="166.1"/>
    <n v="152.69999999999999"/>
    <n v="158.4"/>
    <n v="161"/>
  </r>
  <r>
    <x v="2"/>
    <x v="9"/>
    <x v="0"/>
    <x v="109"/>
    <x v="214"/>
    <n v="198.7"/>
    <n v="178.8"/>
    <n v="160.5"/>
    <n v="184.7"/>
    <n v="153.69999999999999"/>
    <n v="174.3"/>
    <n v="163.9"/>
    <n v="120"/>
    <n v="172.1"/>
    <n v="164.3"/>
    <n v="177.3"/>
    <n v="166.4"/>
    <n v="192.2"/>
    <n v="169.9"/>
    <n v="160.69999999999999"/>
    <n v="168.5"/>
    <n v="164.5"/>
    <n v="164.5"/>
    <n v="164.2"/>
    <n v="161.1"/>
    <n v="171.4"/>
    <n v="156.5"/>
    <n v="161.19999999999999"/>
    <n v="164.7"/>
    <n v="163"/>
    <n v="162.69999999999999"/>
    <n v="165.7"/>
    <n v="2164.1999999999998"/>
    <n v="192.2"/>
    <n v="330.6"/>
    <n v="815.5"/>
    <n v="171.4"/>
    <n v="156.5"/>
    <n v="161.19999999999999"/>
    <n v="164.7"/>
  </r>
  <r>
    <x v="0"/>
    <x v="9"/>
    <x v="1"/>
    <x v="110"/>
    <x v="200"/>
    <n v="198.1"/>
    <n v="175.5"/>
    <n v="160.69999999999999"/>
    <n v="192.6"/>
    <n v="151.4"/>
    <n v="155.19999999999999"/>
    <n v="163.9"/>
    <n v="118.1"/>
    <n v="175.4"/>
    <n v="170.5"/>
    <n v="176.3"/>
    <n v="163.9"/>
    <n v="191.5"/>
    <n v="174.1"/>
    <n v="171"/>
    <n v="173.7"/>
    <s v="NA"/>
    <n v="165.5"/>
    <n v="167.4"/>
    <n v="165.7"/>
    <n v="175.3"/>
    <n v="161.19999999999999"/>
    <n v="165.5"/>
    <n v="170.3"/>
    <n v="164.5"/>
    <n v="167.3"/>
    <n v="166.7"/>
    <n v="2150.4"/>
    <n v="191.5"/>
    <n v="345.1"/>
    <n v="830.39999999999986"/>
    <n v="175.3"/>
    <n v="161.19999999999999"/>
    <n v="165.5"/>
    <n v="170.3"/>
  </r>
  <r>
    <x v="1"/>
    <x v="9"/>
    <x v="1"/>
    <x v="110"/>
    <x v="215"/>
    <n v="205.2"/>
    <n v="176.4"/>
    <n v="160.6"/>
    <n v="171.5"/>
    <n v="156.4"/>
    <n v="198"/>
    <n v="163.19999999999999"/>
    <n v="120.6"/>
    <n v="172.2"/>
    <n v="156.69999999999999"/>
    <n v="180"/>
    <n v="170.2"/>
    <n v="196.5"/>
    <n v="165.7"/>
    <n v="150.4"/>
    <n v="163.4"/>
    <n v="165.5"/>
    <n v="165.5"/>
    <n v="163"/>
    <n v="157.4"/>
    <n v="167.2"/>
    <n v="153.1"/>
    <n v="159.5"/>
    <n v="162"/>
    <n v="164.2"/>
    <n v="159.4"/>
    <n v="165.5"/>
    <n v="2183.5"/>
    <n v="196.5"/>
    <n v="316.10000000000002"/>
    <n v="809.49999999999989"/>
    <n v="167.2"/>
    <n v="153.1"/>
    <n v="159.5"/>
    <n v="162"/>
  </r>
  <r>
    <x v="2"/>
    <x v="9"/>
    <x v="1"/>
    <x v="110"/>
    <x v="216"/>
    <n v="200.6"/>
    <n v="175.8"/>
    <n v="160.69999999999999"/>
    <n v="184.9"/>
    <n v="153.69999999999999"/>
    <n v="169.7"/>
    <n v="163.69999999999999"/>
    <n v="118.9"/>
    <n v="174.3"/>
    <n v="164.7"/>
    <n v="178"/>
    <n v="166.2"/>
    <n v="192.8"/>
    <n v="170.8"/>
    <n v="162.4"/>
    <n v="169.6"/>
    <n v="165.5"/>
    <n v="165.5"/>
    <n v="165.7"/>
    <n v="161.80000000000001"/>
    <n v="172.2"/>
    <n v="156.9"/>
    <n v="162.1"/>
    <n v="165.4"/>
    <n v="164.4"/>
    <n v="163.5"/>
    <n v="166.1"/>
    <n v="2161.2000000000003"/>
    <n v="192.8"/>
    <n v="333.20000000000005"/>
    <n v="820.9"/>
    <n v="172.2"/>
    <n v="156.9"/>
    <n v="162.1"/>
    <n v="165.4"/>
  </r>
  <r>
    <x v="0"/>
    <x v="9"/>
    <x v="2"/>
    <x v="111"/>
    <x v="217"/>
    <n v="208"/>
    <n v="167.9"/>
    <n v="162"/>
    <n v="203.1"/>
    <n v="155.9"/>
    <n v="155.80000000000001"/>
    <n v="164.2"/>
    <n v="118.1"/>
    <n v="178.7"/>
    <n v="171.2"/>
    <n v="177.4"/>
    <n v="166.6"/>
    <n v="192.3"/>
    <n v="175.4"/>
    <n v="173.2"/>
    <n v="175.1"/>
    <s v="NA"/>
    <n v="165.3"/>
    <n v="168.9"/>
    <n v="166.5"/>
    <n v="176"/>
    <n v="162"/>
    <n v="166.6"/>
    <n v="170.6"/>
    <n v="167.4"/>
    <n v="168.3"/>
    <n v="168.7"/>
    <n v="2179.1000000000004"/>
    <n v="192.3"/>
    <n v="348.6"/>
    <n v="836.40000000000009"/>
    <n v="176"/>
    <n v="162"/>
    <n v="166.6"/>
    <n v="170.6"/>
  </r>
  <r>
    <x v="1"/>
    <x v="9"/>
    <x v="2"/>
    <x v="111"/>
    <x v="218"/>
    <n v="215.8"/>
    <n v="167.7"/>
    <n v="162.6"/>
    <n v="180"/>
    <n v="159.6"/>
    <n v="188.4"/>
    <n v="163.4"/>
    <n v="120.3"/>
    <n v="174.7"/>
    <n v="157.1"/>
    <n v="181.5"/>
    <n v="171.5"/>
    <n v="197.5"/>
    <n v="167.1"/>
    <n v="152.6"/>
    <n v="164.9"/>
    <n v="165.3"/>
    <n v="165.3"/>
    <n v="164.5"/>
    <n v="158.6"/>
    <n v="168.2"/>
    <n v="154.19999999999999"/>
    <n v="160.80000000000001"/>
    <n v="162.69999999999999"/>
    <n v="166.8"/>
    <n v="160.6"/>
    <n v="166.5"/>
    <n v="2196.3000000000002"/>
    <n v="197.5"/>
    <n v="319.7"/>
    <n v="815.80000000000007"/>
    <n v="168.2"/>
    <n v="154.19999999999999"/>
    <n v="160.80000000000001"/>
    <n v="162.69999999999999"/>
  </r>
  <r>
    <x v="2"/>
    <x v="9"/>
    <x v="2"/>
    <x v="111"/>
    <x v="219"/>
    <n v="210.7"/>
    <n v="167.8"/>
    <n v="162.19999999999999"/>
    <n v="194.6"/>
    <n v="157.6"/>
    <n v="166.9"/>
    <n v="163.9"/>
    <n v="118.8"/>
    <n v="177.4"/>
    <n v="165.3"/>
    <n v="179.3"/>
    <n v="168.4"/>
    <n v="193.7"/>
    <n v="172.1"/>
    <n v="164.6"/>
    <n v="171.1"/>
    <n v="165.3"/>
    <n v="165.3"/>
    <n v="167.2"/>
    <n v="162.80000000000001"/>
    <n v="173"/>
    <n v="157.9"/>
    <n v="163.30000000000001"/>
    <n v="166"/>
    <n v="167.2"/>
    <n v="164.6"/>
    <n v="167.7"/>
    <n v="2184.2000000000003"/>
    <n v="193.7"/>
    <n v="336.7"/>
    <n v="827.1"/>
    <n v="173"/>
    <n v="157.9"/>
    <n v="163.30000000000001"/>
    <n v="166"/>
  </r>
  <r>
    <x v="0"/>
    <x v="9"/>
    <x v="3"/>
    <x v="112"/>
    <x v="176"/>
    <n v="209.7"/>
    <n v="164.5"/>
    <n v="163.80000000000001"/>
    <n v="207.4"/>
    <n v="169.7"/>
    <n v="153.6"/>
    <n v="165.1"/>
    <n v="118.2"/>
    <n v="182.9"/>
    <n v="172.4"/>
    <n v="178.9"/>
    <n v="168.6"/>
    <n v="192.8"/>
    <n v="177.5"/>
    <n v="175.1"/>
    <n v="177.1"/>
    <s v="NA"/>
    <n v="167"/>
    <n v="173.3"/>
    <n v="167.7"/>
    <n v="177"/>
    <n v="166.2"/>
    <n v="167.2"/>
    <n v="170.9"/>
    <n v="169"/>
    <n v="170.2"/>
    <n v="170.8"/>
    <n v="2206.6"/>
    <n v="192.8"/>
    <n v="352.6"/>
    <n v="847.2"/>
    <n v="177"/>
    <n v="166.2"/>
    <n v="167.2"/>
    <n v="170.9"/>
  </r>
  <r>
    <x v="1"/>
    <x v="9"/>
    <x v="3"/>
    <x v="112"/>
    <x v="220"/>
    <n v="215.8"/>
    <n v="164.6"/>
    <n v="164.2"/>
    <n v="186"/>
    <n v="175.9"/>
    <n v="190.7"/>
    <n v="164"/>
    <n v="120.5"/>
    <n v="178"/>
    <n v="157.5"/>
    <n v="183.3"/>
    <n v="174.5"/>
    <n v="197.1"/>
    <n v="168.4"/>
    <n v="154.5"/>
    <n v="166.3"/>
    <n v="167"/>
    <n v="167"/>
    <n v="170.5"/>
    <n v="159.80000000000001"/>
    <n v="169"/>
    <n v="159.30000000000001"/>
    <n v="162.19999999999999"/>
    <n v="164"/>
    <n v="168.4"/>
    <n v="163.1"/>
    <n v="169.2"/>
    <n v="2230.4"/>
    <n v="197.1"/>
    <n v="322.89999999999998"/>
    <n v="828.80000000000007"/>
    <n v="169"/>
    <n v="159.30000000000001"/>
    <n v="162.19999999999999"/>
    <n v="164"/>
  </r>
  <r>
    <x v="2"/>
    <x v="9"/>
    <x v="3"/>
    <x v="112"/>
    <x v="221"/>
    <n v="211.8"/>
    <n v="164.5"/>
    <n v="163.9"/>
    <n v="199.5"/>
    <n v="172.6"/>
    <n v="166.2"/>
    <n v="164.7"/>
    <n v="119"/>
    <n v="181.3"/>
    <n v="166.2"/>
    <n v="180.9"/>
    <n v="170.8"/>
    <n v="193.9"/>
    <n v="173.9"/>
    <n v="166.5"/>
    <n v="172.8"/>
    <n v="167"/>
    <n v="167"/>
    <n v="172.2"/>
    <n v="164"/>
    <n v="174"/>
    <n v="162.6"/>
    <n v="164.4"/>
    <n v="166.9"/>
    <n v="168.8"/>
    <n v="166.8"/>
    <n v="170.1"/>
    <n v="2214.3000000000002"/>
    <n v="193.9"/>
    <n v="340.4"/>
    <n v="838.8"/>
    <n v="174"/>
    <n v="162.6"/>
    <n v="164.4"/>
    <n v="166.9"/>
  </r>
  <r>
    <x v="0"/>
    <x v="9"/>
    <x v="4"/>
    <x v="113"/>
    <x v="221"/>
    <n v="214.7"/>
    <n v="161.4"/>
    <n v="164.6"/>
    <n v="209.9"/>
    <n v="168"/>
    <n v="160.4"/>
    <n v="165"/>
    <n v="118.9"/>
    <n v="186.6"/>
    <n v="173.2"/>
    <n v="180.4"/>
    <n v="170.8"/>
    <n v="192.9"/>
    <n v="179.3"/>
    <n v="177.2"/>
    <n v="179"/>
    <s v="NA"/>
    <n v="167.5"/>
    <n v="175.3"/>
    <n v="168.9"/>
    <n v="177.7"/>
    <n v="167.1"/>
    <n v="167.6"/>
    <n v="171.8"/>
    <n v="168.5"/>
    <n v="170.9"/>
    <n v="172.5"/>
    <n v="2226.8000000000002"/>
    <n v="192.9"/>
    <n v="356.5"/>
    <n v="851.1"/>
    <n v="177.7"/>
    <n v="167.1"/>
    <n v="167.6"/>
    <n v="171.8"/>
  </r>
  <r>
    <x v="1"/>
    <x v="9"/>
    <x v="4"/>
    <x v="113"/>
    <x v="222"/>
    <n v="221.2"/>
    <n v="164.1"/>
    <n v="165.4"/>
    <n v="189.5"/>
    <n v="174.5"/>
    <n v="203.2"/>
    <n v="164.1"/>
    <n v="121.2"/>
    <n v="181.4"/>
    <n v="158.5"/>
    <n v="184.9"/>
    <n v="177.5"/>
    <n v="197.5"/>
    <n v="170"/>
    <n v="155.9"/>
    <n v="167.8"/>
    <n v="167.5"/>
    <n v="167.5"/>
    <n v="173.5"/>
    <n v="161.1"/>
    <n v="170.1"/>
    <n v="159.4"/>
    <n v="163.19999999999999"/>
    <n v="165.2"/>
    <n v="168.2"/>
    <n v="163.80000000000001"/>
    <n v="170.8"/>
    <n v="2262.2000000000003"/>
    <n v="197.5"/>
    <n v="325.89999999999998"/>
    <n v="834.09999999999991"/>
    <n v="170.1"/>
    <n v="159.4"/>
    <n v="163.19999999999999"/>
    <n v="165.2"/>
  </r>
  <r>
    <x v="2"/>
    <x v="9"/>
    <x v="4"/>
    <x v="113"/>
    <x v="223"/>
    <n v="217"/>
    <n v="162.4"/>
    <n v="164.9"/>
    <n v="202.4"/>
    <n v="171"/>
    <n v="174.9"/>
    <n v="164.7"/>
    <n v="119.7"/>
    <n v="184.9"/>
    <n v="167.1"/>
    <n v="182.5"/>
    <n v="173.3"/>
    <n v="194.1"/>
    <n v="175.6"/>
    <n v="168.4"/>
    <n v="174.6"/>
    <n v="167.5"/>
    <n v="167.5"/>
    <n v="174.6"/>
    <n v="165.2"/>
    <n v="174.8"/>
    <n v="163"/>
    <n v="165.1"/>
    <n v="167.9"/>
    <n v="168.4"/>
    <n v="167.5"/>
    <n v="171.7"/>
    <n v="2238.9000000000005"/>
    <n v="194.1"/>
    <n v="344"/>
    <n v="843.2"/>
    <n v="174.8"/>
    <n v="163"/>
    <n v="165.1"/>
    <n v="167.9"/>
  </r>
  <r>
    <x v="0"/>
    <x v="9"/>
    <x v="5"/>
    <x v="114"/>
    <x v="224"/>
    <n v="217.2"/>
    <n v="169.6"/>
    <n v="165.4"/>
    <n v="208.1"/>
    <n v="165.8"/>
    <n v="167.3"/>
    <n v="164.6"/>
    <n v="119.1"/>
    <n v="188.9"/>
    <n v="174.2"/>
    <n v="181.9"/>
    <n v="172.4"/>
    <n v="192.9"/>
    <n v="180.7"/>
    <n v="178.7"/>
    <n v="180.4"/>
    <s v="NA"/>
    <n v="166.8"/>
    <n v="176.7"/>
    <n v="170.3"/>
    <n v="178.2"/>
    <n v="165.5"/>
    <n v="168"/>
    <n v="172.6"/>
    <n v="169.5"/>
    <n v="171"/>
    <n v="173.6"/>
    <n v="2248.3000000000002"/>
    <n v="192.9"/>
    <n v="359.4"/>
    <n v="854.3"/>
    <n v="178.2"/>
    <n v="165.5"/>
    <n v="168"/>
    <n v="172.6"/>
  </r>
  <r>
    <x v="1"/>
    <x v="9"/>
    <x v="5"/>
    <x v="114"/>
    <x v="225"/>
    <n v="223.4"/>
    <n v="172.8"/>
    <n v="166.4"/>
    <n v="188.6"/>
    <n v="174.1"/>
    <n v="211.5"/>
    <n v="163.6"/>
    <n v="121.4"/>
    <n v="183.5"/>
    <n v="159.1"/>
    <n v="186.3"/>
    <n v="179.3"/>
    <n v="198.3"/>
    <n v="171.6"/>
    <n v="157.4"/>
    <n v="169.4"/>
    <n v="166.8"/>
    <n v="166.8"/>
    <n v="174.9"/>
    <n v="162.1"/>
    <n v="170.9"/>
    <n v="157.19999999999999"/>
    <n v="164.1"/>
    <n v="166.5"/>
    <n v="169.2"/>
    <n v="163.80000000000001"/>
    <n v="171.4"/>
    <n v="2287.5"/>
    <n v="198.3"/>
    <n v="329"/>
    <n v="836.8"/>
    <n v="170.9"/>
    <n v="157.19999999999999"/>
    <n v="164.1"/>
    <n v="166.5"/>
  </r>
  <r>
    <x v="2"/>
    <x v="9"/>
    <x v="5"/>
    <x v="114"/>
    <x v="226"/>
    <n v="219.4"/>
    <n v="170.8"/>
    <n v="165.8"/>
    <n v="200.9"/>
    <n v="169.7"/>
    <n v="182.3"/>
    <n v="164.3"/>
    <n v="119.9"/>
    <n v="187.1"/>
    <n v="167.9"/>
    <n v="183.9"/>
    <n v="174.9"/>
    <n v="194.3"/>
    <n v="177.1"/>
    <n v="169.9"/>
    <n v="176"/>
    <n v="166.8"/>
    <n v="166.8"/>
    <n v="176"/>
    <n v="166.4"/>
    <n v="175.4"/>
    <n v="161.1"/>
    <n v="165.8"/>
    <n v="169"/>
    <n v="169.4"/>
    <n v="167.5"/>
    <n v="172.6"/>
    <n v="2261.9"/>
    <n v="194.3"/>
    <n v="347"/>
    <n v="846.1"/>
    <n v="175.4"/>
    <n v="161.1"/>
    <n v="165.8"/>
    <n v="169"/>
  </r>
  <r>
    <x v="0"/>
    <x v="9"/>
    <x v="6"/>
    <x v="115"/>
    <x v="227"/>
    <n v="210.8"/>
    <n v="174.3"/>
    <n v="166.3"/>
    <n v="202.2"/>
    <n v="169.6"/>
    <n v="168.6"/>
    <n v="164.4"/>
    <n v="119.2"/>
    <n v="191.8"/>
    <n v="174.5"/>
    <n v="183.1"/>
    <n v="172.5"/>
    <n v="193.2"/>
    <n v="182"/>
    <n v="180.3"/>
    <n v="181.7"/>
    <s v="NA"/>
    <n v="167.8"/>
    <n v="179.6"/>
    <n v="171.3"/>
    <n v="178.8"/>
    <n v="166.3"/>
    <n v="168.6"/>
    <n v="174.7"/>
    <n v="169.7"/>
    <n v="171.8"/>
    <n v="174.3"/>
    <n v="2252.5"/>
    <n v="193.2"/>
    <n v="362.3"/>
    <n v="860.2"/>
    <n v="178.8"/>
    <n v="166.3"/>
    <n v="168.6"/>
    <n v="174.7"/>
  </r>
  <r>
    <x v="1"/>
    <x v="9"/>
    <x v="6"/>
    <x v="115"/>
    <x v="228"/>
    <n v="217.1"/>
    <n v="176.6"/>
    <n v="167.1"/>
    <n v="184.8"/>
    <n v="179.5"/>
    <n v="208.5"/>
    <n v="164"/>
    <n v="121.5"/>
    <n v="186.3"/>
    <n v="159.80000000000001"/>
    <n v="187.7"/>
    <n v="179.4"/>
    <n v="198.6"/>
    <n v="172.7"/>
    <n v="158.69999999999999"/>
    <n v="170.6"/>
    <n v="167.8"/>
    <n v="167.8"/>
    <n v="179.5"/>
    <n v="163.1"/>
    <n v="171.7"/>
    <n v="157.4"/>
    <n v="164.6"/>
    <n v="169.1"/>
    <n v="169.8"/>
    <n v="164.7"/>
    <n v="172.3"/>
    <n v="2291.6"/>
    <n v="198.6"/>
    <n v="331.4"/>
    <n v="844.90000000000009"/>
    <n v="171.7"/>
    <n v="157.4"/>
    <n v="164.6"/>
    <n v="169.1"/>
  </r>
  <r>
    <x v="2"/>
    <x v="9"/>
    <x v="6"/>
    <x v="115"/>
    <x v="229"/>
    <n v="213"/>
    <n v="175.2"/>
    <n v="166.6"/>
    <n v="195.8"/>
    <n v="174.2"/>
    <n v="182.1"/>
    <n v="164.3"/>
    <n v="120"/>
    <n v="190"/>
    <n v="168.4"/>
    <n v="185.2"/>
    <n v="175"/>
    <n v="194.6"/>
    <n v="178.3"/>
    <n v="171.3"/>
    <n v="177.3"/>
    <n v="167.8"/>
    <n v="167.8"/>
    <n v="179.6"/>
    <n v="167.4"/>
    <n v="176.1"/>
    <n v="161.6"/>
    <n v="166.3"/>
    <n v="171.4"/>
    <n v="169.7"/>
    <n v="168.4"/>
    <n v="173.4"/>
    <n v="2266.3000000000002"/>
    <n v="194.6"/>
    <n v="349.6"/>
    <n v="852.9"/>
    <n v="176.1"/>
    <n v="161.6"/>
    <n v="166.3"/>
    <n v="171.4"/>
  </r>
  <r>
    <x v="0"/>
    <x v="9"/>
    <x v="7"/>
    <x v="116"/>
    <x v="230"/>
    <n v="204.1"/>
    <n v="168.3"/>
    <n v="167.9"/>
    <n v="198.1"/>
    <n v="169.2"/>
    <n v="173.1"/>
    <n v="167.1"/>
    <n v="120.2"/>
    <n v="195.6"/>
    <n v="174.8"/>
    <n v="184"/>
    <n v="173.9"/>
    <n v="193.7"/>
    <n v="183.2"/>
    <n v="181.7"/>
    <n v="183"/>
    <s v="NA"/>
    <n v="169"/>
    <n v="179.1"/>
    <n v="172.3"/>
    <n v="179.4"/>
    <n v="166.6"/>
    <n v="169.3"/>
    <n v="175.7"/>
    <n v="171.1"/>
    <n v="172.6"/>
    <n v="175.3"/>
    <n v="2255.7999999999997"/>
    <n v="193.7"/>
    <n v="364.9"/>
    <n v="864.10000000000014"/>
    <n v="179.4"/>
    <n v="166.6"/>
    <n v="169.3"/>
    <n v="175.7"/>
  </r>
  <r>
    <x v="1"/>
    <x v="9"/>
    <x v="7"/>
    <x v="116"/>
    <x v="231"/>
    <n v="210.9"/>
    <n v="170.6"/>
    <n v="168.4"/>
    <n v="182.5"/>
    <n v="177.1"/>
    <n v="213.1"/>
    <n v="167.3"/>
    <n v="122.2"/>
    <n v="189.7"/>
    <n v="160.5"/>
    <n v="188.9"/>
    <n v="180.4"/>
    <n v="198.7"/>
    <n v="173.7"/>
    <n v="160"/>
    <n v="171.6"/>
    <n v="169"/>
    <n v="169"/>
    <n v="178.4"/>
    <n v="164.2"/>
    <n v="172.6"/>
    <n v="157.69999999999999"/>
    <n v="165.1"/>
    <n v="169.9"/>
    <n v="171.4"/>
    <n v="165.4"/>
    <n v="173.1"/>
    <n v="2293.6999999999998"/>
    <n v="198.7"/>
    <n v="333.7"/>
    <n v="848.4"/>
    <n v="172.6"/>
    <n v="157.69999999999999"/>
    <n v="165.1"/>
    <n v="169.9"/>
  </r>
  <r>
    <x v="2"/>
    <x v="9"/>
    <x v="7"/>
    <x v="116"/>
    <x v="232"/>
    <n v="206.5"/>
    <n v="169.2"/>
    <n v="168.1"/>
    <n v="192.4"/>
    <n v="172.9"/>
    <n v="186.7"/>
    <n v="167.2"/>
    <n v="120.9"/>
    <n v="193.6"/>
    <n v="168.8"/>
    <n v="186.3"/>
    <n v="176.3"/>
    <n v="195"/>
    <n v="179.5"/>
    <n v="172.7"/>
    <n v="178.5"/>
    <n v="169"/>
    <n v="169"/>
    <n v="178.8"/>
    <n v="168.5"/>
    <n v="176.8"/>
    <n v="161.9"/>
    <n v="166.9"/>
    <n v="172.3"/>
    <n v="171.2"/>
    <n v="169.1"/>
    <n v="174.3"/>
    <n v="2269.2000000000003"/>
    <n v="195"/>
    <n v="352.2"/>
    <n v="856.6"/>
    <n v="176.8"/>
    <n v="161.9"/>
    <n v="166.9"/>
    <n v="172.3"/>
  </r>
  <r>
    <x v="0"/>
    <x v="9"/>
    <x v="8"/>
    <x v="117"/>
    <x v="233"/>
    <n v="206.7"/>
    <n v="169"/>
    <n v="169.5"/>
    <n v="194.1"/>
    <n v="164.1"/>
    <n v="176.9"/>
    <n v="169"/>
    <n v="120.8"/>
    <n v="199.1"/>
    <n v="175.4"/>
    <n v="184.8"/>
    <n v="175.5"/>
    <n v="194.5"/>
    <n v="184.7"/>
    <n v="183.3"/>
    <n v="184.5"/>
    <s v="NA"/>
    <n v="169.5"/>
    <n v="179.7"/>
    <n v="173.6"/>
    <n v="180.2"/>
    <n v="166.9"/>
    <n v="170"/>
    <n v="176.2"/>
    <n v="170.8"/>
    <n v="173.1"/>
    <n v="176.4"/>
    <n v="2267.8000000000002"/>
    <n v="194.5"/>
    <n v="368"/>
    <n v="866.69999999999993"/>
    <n v="180.2"/>
    <n v="166.9"/>
    <n v="170"/>
    <n v="176.2"/>
  </r>
  <r>
    <x v="1"/>
    <x v="9"/>
    <x v="8"/>
    <x v="117"/>
    <x v="234"/>
    <n v="213.7"/>
    <n v="170.9"/>
    <n v="170.1"/>
    <n v="179.3"/>
    <n v="167.5"/>
    <n v="220.8"/>
    <n v="169.2"/>
    <n v="123.1"/>
    <n v="193.6"/>
    <n v="161.1"/>
    <n v="190.4"/>
    <n v="181.8"/>
    <n v="199.7"/>
    <n v="175"/>
    <n v="161.69999999999999"/>
    <n v="173"/>
    <n v="169.5"/>
    <n v="169.5"/>
    <n v="179.2"/>
    <n v="165"/>
    <n v="173.8"/>
    <n v="158.19999999999999"/>
    <n v="165.8"/>
    <n v="170.9"/>
    <n v="171.1"/>
    <n v="166.1"/>
    <n v="174.1"/>
    <n v="2306.4"/>
    <n v="199.7"/>
    <n v="336.7"/>
    <n v="850.90000000000009"/>
    <n v="173.8"/>
    <n v="158.19999999999999"/>
    <n v="165.8"/>
    <n v="170.9"/>
  </r>
  <r>
    <x v="2"/>
    <x v="9"/>
    <x v="8"/>
    <x v="117"/>
    <x v="235"/>
    <n v="209.2"/>
    <n v="169.7"/>
    <n v="169.7"/>
    <n v="188.7"/>
    <n v="165.7"/>
    <n v="191.8"/>
    <n v="169.1"/>
    <n v="121.6"/>
    <n v="197.3"/>
    <n v="169.4"/>
    <n v="187.4"/>
    <n v="177.8"/>
    <n v="195.9"/>
    <n v="180.9"/>
    <n v="174.3"/>
    <n v="179.9"/>
    <n v="169.5"/>
    <n v="169.5"/>
    <n v="179.5"/>
    <n v="169.5"/>
    <n v="177.8"/>
    <n v="162.30000000000001"/>
    <n v="167.6"/>
    <n v="173.1"/>
    <n v="170.9"/>
    <n v="169.7"/>
    <n v="175.3"/>
    <n v="2280.9"/>
    <n v="195.9"/>
    <n v="355.20000000000005"/>
    <n v="859.09999999999991"/>
    <n v="177.8"/>
    <n v="162.30000000000001"/>
    <n v="167.6"/>
    <n v="173.1"/>
  </r>
  <r>
    <x v="0"/>
    <x v="9"/>
    <x v="9"/>
    <x v="118"/>
    <x v="236"/>
    <n v="208.8"/>
    <n v="170.3"/>
    <n v="170.9"/>
    <n v="191.6"/>
    <n v="162.19999999999999"/>
    <n v="184.8"/>
    <n v="169.7"/>
    <n v="121.1"/>
    <n v="201.6"/>
    <n v="175.8"/>
    <n v="185.6"/>
    <n v="177.4"/>
    <n v="194.9"/>
    <n v="186.1"/>
    <n v="184.4"/>
    <n v="185.9"/>
    <s v="NA"/>
    <n v="171.2"/>
    <n v="180.8"/>
    <n v="174.4"/>
    <n v="181.2"/>
    <n v="167.4"/>
    <n v="170.6"/>
    <n v="176.5"/>
    <n v="172"/>
    <n v="173.9"/>
    <n v="177.9"/>
    <n v="2284.5"/>
    <n v="194.9"/>
    <n v="370.5"/>
    <n v="872.3"/>
    <n v="181.2"/>
    <n v="167.4"/>
    <n v="170.6"/>
    <n v="176.5"/>
  </r>
  <r>
    <x v="1"/>
    <x v="9"/>
    <x v="9"/>
    <x v="118"/>
    <x v="237"/>
    <n v="214.9"/>
    <n v="171.9"/>
    <n v="171"/>
    <n v="177.7"/>
    <n v="165.7"/>
    <n v="228.6"/>
    <n v="169.9"/>
    <n v="123.4"/>
    <n v="196.4"/>
    <n v="161.6"/>
    <n v="191.5"/>
    <n v="183.3"/>
    <n v="200.1"/>
    <n v="175.5"/>
    <n v="162.6"/>
    <n v="173.6"/>
    <n v="171.2"/>
    <n v="171.2"/>
    <n v="180"/>
    <n v="166"/>
    <n v="174.7"/>
    <n v="158.80000000000001"/>
    <n v="166.3"/>
    <n v="171.2"/>
    <n v="172.3"/>
    <n v="166.8"/>
    <n v="175.3"/>
    <n v="2322.3000000000002"/>
    <n v="200.1"/>
    <n v="338.1"/>
    <n v="856.3"/>
    <n v="174.7"/>
    <n v="158.80000000000001"/>
    <n v="166.3"/>
    <n v="171.2"/>
  </r>
  <r>
    <x v="2"/>
    <x v="9"/>
    <x v="9"/>
    <x v="118"/>
    <x v="238"/>
    <n v="210.9"/>
    <n v="170.9"/>
    <n v="170.9"/>
    <n v="186.5"/>
    <n v="163.80000000000001"/>
    <n v="199.7"/>
    <n v="169.8"/>
    <n v="121.9"/>
    <n v="199.9"/>
    <n v="169.9"/>
    <n v="188.3"/>
    <n v="179.6"/>
    <n v="196.3"/>
    <n v="181.9"/>
    <n v="175.3"/>
    <n v="181"/>
    <n v="171.2"/>
    <n v="171.2"/>
    <n v="180.5"/>
    <n v="170.4"/>
    <n v="178.7"/>
    <n v="162.9"/>
    <n v="168.2"/>
    <n v="173.4"/>
    <n v="172.1"/>
    <n v="170.5"/>
    <n v="176.7"/>
    <n v="2297.3000000000002"/>
    <n v="196.3"/>
    <n v="357.20000000000005"/>
    <n v="864.7"/>
    <n v="178.7"/>
    <n v="162.9"/>
    <n v="168.2"/>
    <n v="173.4"/>
  </r>
  <r>
    <x v="0"/>
    <x v="9"/>
    <x v="11"/>
    <x v="119"/>
    <x v="239"/>
    <n v="207.2"/>
    <n v="180.2"/>
    <n v="172.3"/>
    <n v="194"/>
    <n v="159.1"/>
    <n v="171.6"/>
    <n v="170.2"/>
    <n v="121.5"/>
    <n v="204.8"/>
    <n v="176.4"/>
    <n v="186.9"/>
    <n v="176.6"/>
    <n v="195.5"/>
    <n v="187.2"/>
    <n v="185.2"/>
    <n v="186.9"/>
    <s v="NA"/>
    <n v="171.8"/>
    <n v="181.9"/>
    <n v="175.5"/>
    <n v="182.3"/>
    <n v="167.5"/>
    <n v="170.8"/>
    <n v="176.9"/>
    <n v="173.4"/>
    <n v="174.6"/>
    <n v="177.8"/>
    <n v="2287.6999999999998"/>
    <n v="195.5"/>
    <n v="372.4"/>
    <n v="877.2"/>
    <n v="182.3"/>
    <n v="167.5"/>
    <n v="170.8"/>
    <n v="176.9"/>
  </r>
  <r>
    <x v="1"/>
    <x v="9"/>
    <x v="11"/>
    <x v="119"/>
    <x v="240"/>
    <n v="213.4"/>
    <n v="183.2"/>
    <n v="172.3"/>
    <n v="180"/>
    <n v="162.6"/>
    <n v="205.5"/>
    <n v="171"/>
    <n v="123.4"/>
    <n v="198.8"/>
    <n v="162.1"/>
    <n v="192.4"/>
    <n v="181.3"/>
    <n v="200.6"/>
    <n v="176.7"/>
    <n v="163.5"/>
    <n v="174.7"/>
    <n v="171.8"/>
    <n v="171.8"/>
    <n v="180.3"/>
    <n v="166.9"/>
    <n v="175.8"/>
    <n v="158.9"/>
    <n v="166.7"/>
    <n v="171.5"/>
    <n v="173.8"/>
    <n v="167.4"/>
    <n v="174.1"/>
    <n v="2314.4"/>
    <n v="200.6"/>
    <n v="340.2"/>
    <n v="860.19999999999993"/>
    <n v="175.8"/>
    <n v="158.9"/>
    <n v="166.7"/>
    <n v="171.5"/>
  </r>
  <r>
    <x v="2"/>
    <x v="9"/>
    <x v="11"/>
    <x v="119"/>
    <x v="241"/>
    <n v="209.4"/>
    <n v="181.4"/>
    <n v="172.3"/>
    <n v="188.9"/>
    <n v="160.69999999999999"/>
    <n v="183.1"/>
    <n v="170.5"/>
    <n v="122.1"/>
    <n v="202.8"/>
    <n v="170.4"/>
    <n v="189.5"/>
    <n v="178.3"/>
    <n v="196.9"/>
    <n v="183.1"/>
    <n v="176.2"/>
    <n v="182.1"/>
    <n v="171.8"/>
    <n v="171.8"/>
    <n v="181.3"/>
    <n v="171.4"/>
    <n v="179.8"/>
    <n v="163"/>
    <n v="168.5"/>
    <n v="173.7"/>
    <n v="173.6"/>
    <n v="171.1"/>
    <n v="176.5"/>
    <n v="2296.8000000000002"/>
    <n v="196.9"/>
    <n v="359.29999999999995"/>
    <n v="869.2"/>
    <n v="179.8"/>
    <n v="163"/>
    <n v="168.5"/>
    <n v="173.7"/>
  </r>
  <r>
    <x v="0"/>
    <x v="9"/>
    <x v="12"/>
    <x v="120"/>
    <x v="242"/>
    <n v="206.9"/>
    <n v="189.1"/>
    <n v="173.4"/>
    <n v="193.9"/>
    <n v="156.69999999999999"/>
    <n v="150.19999999999999"/>
    <n v="170.5"/>
    <n v="121.2"/>
    <n v="207.5"/>
    <n v="176.8"/>
    <n v="187.7"/>
    <n v="174.4"/>
    <n v="195.9"/>
    <n v="188.1"/>
    <n v="185.9"/>
    <n v="187.8"/>
    <s v="NA"/>
    <n v="170.7"/>
    <n v="182.8"/>
    <n v="176.4"/>
    <n v="183.5"/>
    <n v="167.8"/>
    <n v="171.2"/>
    <n v="177.3"/>
    <n v="175.7"/>
    <n v="175.5"/>
    <n v="177.1"/>
    <n v="2277.1"/>
    <n v="195.9"/>
    <n v="374"/>
    <n v="881.09999999999991"/>
    <n v="183.5"/>
    <n v="167.8"/>
    <n v="171.2"/>
    <n v="177.3"/>
  </r>
  <r>
    <x v="1"/>
    <x v="9"/>
    <x v="12"/>
    <x v="120"/>
    <x v="243"/>
    <n v="212.9"/>
    <n v="191.9"/>
    <n v="173.9"/>
    <n v="179.1"/>
    <n v="159.5"/>
    <n v="178.7"/>
    <n v="171.3"/>
    <n v="123.1"/>
    <n v="200.5"/>
    <n v="162.80000000000001"/>
    <n v="193.3"/>
    <n v="178.6"/>
    <n v="201.1"/>
    <n v="177.7"/>
    <n v="164.5"/>
    <n v="175.7"/>
    <n v="170.7"/>
    <n v="170.7"/>
    <n v="180.6"/>
    <n v="167.3"/>
    <n v="177.2"/>
    <n v="159.4"/>
    <n v="167.1"/>
    <n v="171.8"/>
    <n v="176"/>
    <n v="168.2"/>
    <n v="174.1"/>
    <n v="2295.7999999999997"/>
    <n v="201.1"/>
    <n v="342.2"/>
    <n v="862.8"/>
    <n v="177.2"/>
    <n v="159.4"/>
    <n v="167.1"/>
    <n v="171.8"/>
  </r>
  <r>
    <x v="2"/>
    <x v="9"/>
    <x v="12"/>
    <x v="120"/>
    <x v="244"/>
    <n v="209"/>
    <n v="190.2"/>
    <n v="173.6"/>
    <n v="188.5"/>
    <n v="158"/>
    <n v="159.9"/>
    <n v="170.8"/>
    <n v="121.8"/>
    <n v="205.2"/>
    <n v="171"/>
    <n v="190.3"/>
    <n v="175.9"/>
    <n v="197.3"/>
    <n v="184"/>
    <n v="177"/>
    <n v="183"/>
    <n v="170.7"/>
    <n v="170.7"/>
    <n v="182"/>
    <n v="172.1"/>
    <n v="181.1"/>
    <n v="163.4"/>
    <n v="168.9"/>
    <n v="174.1"/>
    <n v="175.8"/>
    <n v="172"/>
    <n v="175.7"/>
    <n v="2283.4"/>
    <n v="197.3"/>
    <n v="361"/>
    <n v="872.59999999999991"/>
    <n v="181.1"/>
    <n v="163.4"/>
    <n v="168.9"/>
    <n v="174.1"/>
  </r>
  <r>
    <x v="0"/>
    <x v="10"/>
    <x v="0"/>
    <x v="121"/>
    <x v="245"/>
    <n v="208.3"/>
    <n v="192.9"/>
    <n v="174.3"/>
    <n v="192.6"/>
    <n v="156.30000000000001"/>
    <n v="142.9"/>
    <n v="170.7"/>
    <n v="120.3"/>
    <n v="210.5"/>
    <n v="176.9"/>
    <n v="188.5"/>
    <n v="175"/>
    <n v="196.9"/>
    <n v="189"/>
    <n v="186.3"/>
    <n v="188.6"/>
    <s v="NA"/>
    <n v="172.1"/>
    <n v="183.2"/>
    <n v="177.2"/>
    <n v="184.7"/>
    <n v="168.2"/>
    <n v="171.8"/>
    <n v="177.8"/>
    <n v="178.4"/>
    <n v="176.5"/>
    <n v="177.8"/>
    <n v="2283.2000000000003"/>
    <n v="196.9"/>
    <n v="375.3"/>
    <n v="887.4"/>
    <n v="184.7"/>
    <n v="168.2"/>
    <n v="171.8"/>
    <n v="177.8"/>
  </r>
  <r>
    <x v="1"/>
    <x v="10"/>
    <x v="0"/>
    <x v="121"/>
    <x v="246"/>
    <n v="215.2"/>
    <n v="197"/>
    <n v="175.2"/>
    <n v="178"/>
    <n v="160.5"/>
    <n v="175.3"/>
    <n v="171.2"/>
    <n v="122.7"/>
    <n v="204.3"/>
    <n v="163.69999999999999"/>
    <n v="194.3"/>
    <n v="179.5"/>
    <n v="201.6"/>
    <n v="178.7"/>
    <n v="165.3"/>
    <n v="176.6"/>
    <n v="172.1"/>
    <n v="172.1"/>
    <n v="180.1"/>
    <n v="168"/>
    <n v="178.5"/>
    <n v="159.5"/>
    <n v="167.8"/>
    <n v="171.8"/>
    <n v="178.8"/>
    <n v="168.9"/>
    <n v="174.9"/>
    <n v="2310.2000000000003"/>
    <n v="201.6"/>
    <n v="344"/>
    <n v="867.9"/>
    <n v="178.5"/>
    <n v="159.5"/>
    <n v="167.8"/>
    <n v="171.8"/>
  </r>
  <r>
    <x v="2"/>
    <x v="10"/>
    <x v="0"/>
    <x v="121"/>
    <x v="247"/>
    <n v="210.7"/>
    <n v="194.5"/>
    <n v="174.6"/>
    <n v="187.2"/>
    <n v="158.30000000000001"/>
    <n v="153.9"/>
    <n v="170.9"/>
    <n v="121.1"/>
    <n v="208.4"/>
    <n v="171.4"/>
    <n v="191.2"/>
    <n v="176.7"/>
    <n v="198.2"/>
    <n v="184.9"/>
    <n v="177.6"/>
    <n v="183.8"/>
    <n v="172.1"/>
    <n v="172.1"/>
    <n v="182"/>
    <n v="172.9"/>
    <n v="182.3"/>
    <n v="163.6"/>
    <n v="169.5"/>
    <n v="174.3"/>
    <n v="178.6"/>
    <n v="172.8"/>
    <n v="176.5"/>
    <n v="2292.6999999999998"/>
    <n v="198.2"/>
    <n v="362.5"/>
    <n v="878.40000000000009"/>
    <n v="182.3"/>
    <n v="163.6"/>
    <n v="169.5"/>
    <n v="174.3"/>
  </r>
  <r>
    <x v="0"/>
    <x v="10"/>
    <x v="1"/>
    <x v="122"/>
    <x v="248"/>
    <n v="205.2"/>
    <n v="173.9"/>
    <n v="177"/>
    <n v="183.4"/>
    <n v="167.2"/>
    <n v="140.9"/>
    <n v="170.4"/>
    <n v="119.1"/>
    <n v="212.1"/>
    <n v="177.6"/>
    <n v="189.9"/>
    <n v="174.8"/>
    <n v="198.3"/>
    <n v="190"/>
    <n v="187"/>
    <n v="189.6"/>
    <s v="NA"/>
    <n v="173.5"/>
    <n v="181.6"/>
    <n v="178.6"/>
    <n v="186.6"/>
    <n v="169"/>
    <n v="172.8"/>
    <n v="178.5"/>
    <n v="180.7"/>
    <n v="177.9"/>
    <n v="178"/>
    <n v="2265.6999999999998"/>
    <n v="198.3"/>
    <n v="377"/>
    <n v="892.30000000000007"/>
    <n v="186.6"/>
    <n v="169"/>
    <n v="172.8"/>
    <n v="178.5"/>
  </r>
  <r>
    <x v="1"/>
    <x v="10"/>
    <x v="1"/>
    <x v="122"/>
    <x v="249"/>
    <n v="212.2"/>
    <n v="177.2"/>
    <n v="177.9"/>
    <n v="172.2"/>
    <n v="172.1"/>
    <n v="175.8"/>
    <n v="172.2"/>
    <n v="121.9"/>
    <n v="204.8"/>
    <n v="164.9"/>
    <n v="196.6"/>
    <n v="180.7"/>
    <n v="202.7"/>
    <n v="180.3"/>
    <n v="167"/>
    <n v="178.2"/>
    <n v="173.5"/>
    <n v="173.5"/>
    <n v="182.8"/>
    <n v="169.2"/>
    <n v="180.8"/>
    <n v="159.80000000000001"/>
    <n v="168.4"/>
    <n v="172.5"/>
    <n v="181.4"/>
    <n v="170"/>
    <n v="176.3"/>
    <n v="2303.1999999999998"/>
    <n v="202.7"/>
    <n v="347.3"/>
    <n v="876.9"/>
    <n v="180.8"/>
    <n v="159.80000000000001"/>
    <n v="168.4"/>
    <n v="172.5"/>
  </r>
  <r>
    <x v="2"/>
    <x v="10"/>
    <x v="1"/>
    <x v="122"/>
    <x v="250"/>
    <n v="207.7"/>
    <n v="175.2"/>
    <n v="177.3"/>
    <n v="179.3"/>
    <n v="169.5"/>
    <n v="152.69999999999999"/>
    <n v="171"/>
    <n v="120"/>
    <n v="209.7"/>
    <n v="172.3"/>
    <n v="193"/>
    <n v="177"/>
    <n v="199.5"/>
    <n v="186.2"/>
    <n v="178.7"/>
    <n v="185.1"/>
    <n v="173.5"/>
    <n v="173.5"/>
    <n v="182.1"/>
    <n v="174.2"/>
    <n v="184.4"/>
    <n v="164.2"/>
    <n v="170.3"/>
    <n v="175"/>
    <n v="181"/>
    <n v="174.1"/>
    <n v="177.2"/>
    <n v="2279.1"/>
    <n v="199.5"/>
    <n v="364.9"/>
    <n v="884.9"/>
    <n v="184.4"/>
    <n v="164.2"/>
    <n v="170.3"/>
    <n v="175"/>
  </r>
  <r>
    <x v="0"/>
    <x v="10"/>
    <x v="2"/>
    <x v="123"/>
    <x v="251"/>
    <n v="205.2"/>
    <n v="173.9"/>
    <n v="177"/>
    <n v="183.3"/>
    <n v="167.2"/>
    <n v="140.9"/>
    <n v="170.5"/>
    <n v="119.1"/>
    <n v="212.1"/>
    <n v="177.6"/>
    <n v="189.9"/>
    <n v="174.8"/>
    <n v="198.4"/>
    <n v="190"/>
    <n v="187"/>
    <n v="189.6"/>
    <s v="NA"/>
    <n v="173.5"/>
    <n v="181.4"/>
    <n v="178.6"/>
    <n v="186.6"/>
    <n v="169"/>
    <n v="172.8"/>
    <n v="178.5"/>
    <n v="180.7"/>
    <n v="177.9"/>
    <n v="178"/>
    <n v="2265.8000000000002"/>
    <n v="198.4"/>
    <n v="377"/>
    <n v="892.1"/>
    <n v="186.6"/>
    <n v="169"/>
    <n v="172.8"/>
    <n v="178.5"/>
  </r>
  <r>
    <x v="1"/>
    <x v="10"/>
    <x v="2"/>
    <x v="123"/>
    <x v="249"/>
    <n v="212.2"/>
    <n v="177.2"/>
    <n v="177.9"/>
    <n v="172.2"/>
    <n v="172.1"/>
    <n v="175.9"/>
    <n v="172.2"/>
    <n v="121.9"/>
    <n v="204.8"/>
    <n v="164.9"/>
    <n v="196.6"/>
    <n v="180.8"/>
    <n v="202.7"/>
    <n v="180.2"/>
    <n v="167"/>
    <n v="178.2"/>
    <n v="173.5"/>
    <n v="173.5"/>
    <n v="182.6"/>
    <n v="169.2"/>
    <n v="180.8"/>
    <n v="159.80000000000001"/>
    <n v="168.4"/>
    <n v="172.5"/>
    <n v="181.5"/>
    <n v="170"/>
    <n v="176.3"/>
    <n v="2303.4"/>
    <n v="202.7"/>
    <n v="347.2"/>
    <n v="876.8"/>
    <n v="180.8"/>
    <n v="159.80000000000001"/>
    <n v="168.4"/>
    <n v="172.5"/>
  </r>
  <r>
    <x v="2"/>
    <x v="10"/>
    <x v="2"/>
    <x v="123"/>
    <x v="250"/>
    <n v="207.7"/>
    <n v="175.2"/>
    <n v="177.3"/>
    <n v="179.2"/>
    <n v="169.5"/>
    <n v="152.80000000000001"/>
    <n v="171.1"/>
    <n v="120"/>
    <n v="209.7"/>
    <n v="172.3"/>
    <n v="193"/>
    <n v="177"/>
    <n v="199.5"/>
    <n v="186.1"/>
    <n v="178.7"/>
    <n v="185.1"/>
    <n v="173.5"/>
    <n v="173.5"/>
    <n v="181.9"/>
    <n v="174.2"/>
    <n v="184.4"/>
    <n v="164.2"/>
    <n v="170.3"/>
    <n v="175"/>
    <n v="181"/>
    <n v="174.1"/>
    <n v="177.2"/>
    <n v="2279.1999999999998"/>
    <n v="199.5"/>
    <n v="364.79999999999995"/>
    <n v="884.69999999999993"/>
    <n v="184.4"/>
    <n v="164.2"/>
    <n v="170.3"/>
    <n v="175"/>
  </r>
  <r>
    <x v="0"/>
    <x v="10"/>
    <x v="3"/>
    <x v="124"/>
    <x v="246"/>
    <n v="206.9"/>
    <n v="167.9"/>
    <n v="178.2"/>
    <n v="178.5"/>
    <n v="173.7"/>
    <n v="142.80000000000001"/>
    <n v="172.8"/>
    <n v="120.4"/>
    <n v="215.5"/>
    <n v="178.2"/>
    <n v="190.5"/>
    <n v="175.5"/>
    <n v="199.5"/>
    <n v="190.7"/>
    <n v="187.3"/>
    <n v="190.2"/>
    <s v="-"/>
    <n v="175.2"/>
    <n v="181.5"/>
    <n v="179.1"/>
    <n v="187.2"/>
    <n v="169.4"/>
    <n v="173.2"/>
    <n v="179.4"/>
    <n v="183.8"/>
    <n v="178.9"/>
    <n v="178.8"/>
    <n v="2274.1999999999998"/>
    <n v="199.5"/>
    <n v="378"/>
    <n v="898.49999999999989"/>
    <n v="187.2"/>
    <n v="169.4"/>
    <n v="173.2"/>
    <n v="179.4"/>
  </r>
  <r>
    <x v="1"/>
    <x v="10"/>
    <x v="3"/>
    <x v="124"/>
    <x v="252"/>
    <n v="213.7"/>
    <n v="172.4"/>
    <n v="178.8"/>
    <n v="168.7"/>
    <n v="179.2"/>
    <n v="179.9"/>
    <n v="174.7"/>
    <n v="123.1"/>
    <n v="207.8"/>
    <n v="165.5"/>
    <n v="197"/>
    <n v="182.1"/>
    <n v="203.5"/>
    <n v="181"/>
    <n v="167.7"/>
    <n v="178.9"/>
    <n v="175.2"/>
    <n v="175.2"/>
    <n v="182.1"/>
    <n v="169.6"/>
    <n v="181.5"/>
    <n v="160.1"/>
    <n v="168.8"/>
    <n v="174.2"/>
    <n v="184.4"/>
    <n v="170.9"/>
    <n v="177.4"/>
    <n v="2317.7000000000003"/>
    <n v="203.5"/>
    <n v="348.7"/>
    <n v="882.19999999999993"/>
    <n v="181.5"/>
    <n v="160.1"/>
    <n v="168.8"/>
    <n v="174.2"/>
  </r>
  <r>
    <x v="2"/>
    <x v="10"/>
    <x v="3"/>
    <x v="124"/>
    <x v="247"/>
    <n v="209.3"/>
    <n v="169.6"/>
    <n v="178.4"/>
    <n v="174.9"/>
    <n v="176.3"/>
    <n v="155.4"/>
    <n v="173.4"/>
    <n v="121.3"/>
    <n v="212.9"/>
    <n v="172.9"/>
    <n v="193.5"/>
    <n v="177.9"/>
    <n v="200.6"/>
    <n v="186.9"/>
    <n v="179.2"/>
    <n v="185.7"/>
    <n v="175.2"/>
    <n v="175.2"/>
    <n v="181.7"/>
    <n v="174.6"/>
    <n v="185"/>
    <n v="164.5"/>
    <n v="170.7"/>
    <n v="176.4"/>
    <n v="184"/>
    <n v="175"/>
    <n v="178.1"/>
    <n v="2289.6000000000004"/>
    <n v="200.6"/>
    <n v="366.1"/>
    <n v="890.5"/>
    <n v="185"/>
    <n v="164.5"/>
    <n v="170.7"/>
    <n v="176.4"/>
  </r>
  <r>
    <x v="0"/>
    <x v="10"/>
    <x v="4"/>
    <x v="125"/>
    <x v="253"/>
    <n v="211.5"/>
    <n v="171"/>
    <n v="179.6"/>
    <n v="173.3"/>
    <n v="169"/>
    <n v="148.69999999999999"/>
    <n v="174.9"/>
    <n v="121.9"/>
    <n v="221"/>
    <n v="178.7"/>
    <n v="191.1"/>
    <n v="176.8"/>
    <n v="199.9"/>
    <n v="191.2"/>
    <n v="187.9"/>
    <n v="190.8"/>
    <s v="-"/>
    <n v="175.6"/>
    <n v="182.5"/>
    <n v="179.8"/>
    <n v="187.8"/>
    <n v="169.7"/>
    <n v="173.8"/>
    <n v="180.3"/>
    <n v="184.9"/>
    <n v="179.5"/>
    <n v="179.8"/>
    <n v="2290.7000000000007"/>
    <n v="199.9"/>
    <n v="379.1"/>
    <n v="902.30000000000007"/>
    <n v="187.8"/>
    <n v="169.7"/>
    <n v="173.8"/>
    <n v="180.3"/>
  </r>
  <r>
    <x v="1"/>
    <x v="10"/>
    <x v="4"/>
    <x v="125"/>
    <x v="249"/>
    <n v="219.4"/>
    <n v="176.7"/>
    <n v="179.4"/>
    <n v="164.4"/>
    <n v="175.8"/>
    <n v="185"/>
    <n v="176.9"/>
    <n v="124.2"/>
    <n v="211.9"/>
    <n v="165.9"/>
    <n v="197.7"/>
    <n v="183.1"/>
    <n v="204.2"/>
    <n v="181.3"/>
    <n v="168.1"/>
    <n v="179.3"/>
    <n v="175.6"/>
    <n v="175.6"/>
    <n v="183.4"/>
    <n v="170.1"/>
    <n v="182.2"/>
    <n v="160.4"/>
    <n v="169.2"/>
    <n v="174.8"/>
    <n v="185.6"/>
    <n v="171.6"/>
    <n v="178.2"/>
    <n v="2335.1"/>
    <n v="204.2"/>
    <n v="349.4"/>
    <n v="886.30000000000007"/>
    <n v="182.2"/>
    <n v="160.4"/>
    <n v="169.2"/>
    <n v="174.8"/>
  </r>
  <r>
    <x v="2"/>
    <x v="10"/>
    <x v="4"/>
    <x v="125"/>
    <x v="254"/>
    <n v="214.3"/>
    <n v="173.2"/>
    <n v="179.5"/>
    <n v="170"/>
    <n v="172.2"/>
    <n v="161"/>
    <n v="175.6"/>
    <n v="122.7"/>
    <n v="218"/>
    <n v="173.4"/>
    <n v="194.2"/>
    <n v="179.1"/>
    <n v="201"/>
    <n v="187.3"/>
    <n v="179.7"/>
    <n v="186.2"/>
    <n v="175.6"/>
    <n v="175.6"/>
    <n v="182.8"/>
    <n v="175.2"/>
    <n v="185.7"/>
    <n v="164.8"/>
    <n v="171.2"/>
    <n v="177.1"/>
    <n v="185.2"/>
    <n v="175.7"/>
    <n v="179.1"/>
    <n v="2306.9"/>
    <n v="201"/>
    <n v="367"/>
    <n v="894.5"/>
    <n v="185.7"/>
    <n v="164.8"/>
    <n v="171.2"/>
    <n v="177.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E7:M11" firstHeaderRow="0" firstDataRow="1" firstDataCol="1" rowPageCount="2" colPageCount="1"/>
  <pivotFields count="40">
    <pivotField axis="axisRow" showAll="0">
      <items count="4">
        <item x="0"/>
        <item x="2"/>
        <item x="1"/>
        <item t="default"/>
      </items>
    </pivotField>
    <pivotField axis="axisPage" multipleItemSelectionAllowed="1" showAll="0">
      <items count="12">
        <item h="1" x="0"/>
        <item h="1" x="1"/>
        <item h="1" x="2"/>
        <item h="1" x="3"/>
        <item h="1" x="4"/>
        <item h="1" x="5"/>
        <item h="1" x="6"/>
        <item h="1" x="7"/>
        <item h="1" x="8"/>
        <item h="1" x="9"/>
        <item x="10"/>
        <item t="default"/>
      </items>
    </pivotField>
    <pivotField axis="axisPage" multipleItemSelectionAllowed="1" showAll="0">
      <items count="15">
        <item h="1" x="0"/>
        <item h="1" x="1"/>
        <item h="1" x="2"/>
        <item h="1" x="3"/>
        <item x="4"/>
        <item h="1" x="5"/>
        <item h="1" x="6"/>
        <item h="1" x="7"/>
        <item h="1" x="8"/>
        <item h="1" x="9"/>
        <item h="1" x="11"/>
        <item h="1" x="12"/>
        <item h="1" x="13"/>
        <item h="1"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1">
    <field x="0"/>
  </rowFields>
  <rowItems count="4">
    <i>
      <x/>
    </i>
    <i>
      <x v="1"/>
    </i>
    <i>
      <x v="2"/>
    </i>
    <i t="grand">
      <x/>
    </i>
  </rowItems>
  <colFields count="1">
    <field x="-2"/>
  </colFields>
  <colItems count="8">
    <i>
      <x/>
    </i>
    <i i="1">
      <x v="1"/>
    </i>
    <i i="2">
      <x v="2"/>
    </i>
    <i i="3">
      <x v="3"/>
    </i>
    <i i="4">
      <x v="4"/>
    </i>
    <i i="5">
      <x v="5"/>
    </i>
    <i i="6">
      <x v="6"/>
    </i>
    <i i="7">
      <x v="7"/>
    </i>
  </colItems>
  <pageFields count="2">
    <pageField fld="1" hier="-1"/>
    <pageField fld="2" hier="-1"/>
  </pageFields>
  <dataFields count="8">
    <dataField name="Sum of Food category" fld="32" baseField="0" baseItem="0"/>
    <dataField name="Sum of Education cat" fld="39" baseField="0" baseItem="0"/>
    <dataField name="Sum of Recreation &amp; amusement cat" fld="38" baseField="0" baseItem="0"/>
    <dataField name="Sum of Transport category" fld="37" baseField="0" baseItem="0"/>
    <dataField name="Sum of Health category" fld="36" baseField="0" baseItem="0"/>
    <dataField name="Sum of Housing categpry" fld="35" baseField="0" baseItem="0"/>
    <dataField name="Sum of Clothing category" fld="34" baseField="0" baseItem="0"/>
    <dataField name="Sum of Tobacco category" fld="33"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 chart="0" format="6" series="1">
      <pivotArea type="data" outline="0" fieldPosition="0">
        <references count="1">
          <reference field="4294967294" count="1" selected="0">
            <x v="6"/>
          </reference>
        </references>
      </pivotArea>
    </chartFormat>
    <chartFormat chart="0" format="7" series="1">
      <pivotArea type="data" outline="0" fieldPosition="0">
        <references count="1">
          <reference field="4294967294"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373"/>
  <sheetViews>
    <sheetView topLeftCell="AD1" workbookViewId="0">
      <pane ySplit="1" topLeftCell="A2" activePane="bottomLeft" state="frozen"/>
      <selection pane="bottomLeft" activeCell="W1" sqref="W1"/>
    </sheetView>
  </sheetViews>
  <sheetFormatPr defaultRowHeight="15" x14ac:dyDescent="0.25"/>
  <cols>
    <col min="4" max="4" width="18.28515625" bestFit="1" customWidth="1"/>
    <col min="5" max="5" width="12.85546875" customWidth="1"/>
    <col min="17" max="17" width="19" bestFit="1" customWidth="1"/>
    <col min="21" max="21" width="21" bestFit="1" customWidth="1"/>
    <col min="23" max="23" width="18.7109375" bestFit="1" customWidth="1"/>
    <col min="24" max="24" width="13.140625" bestFit="1" customWidth="1"/>
    <col min="25" max="25" width="28.140625" bestFit="1" customWidth="1"/>
    <col min="28" max="28" width="25.85546875" bestFit="1" customWidth="1"/>
    <col min="30" max="30" width="23.5703125" bestFit="1" customWidth="1"/>
    <col min="32" max="32" width="13.7109375" bestFit="1" customWidth="1"/>
    <col min="33" max="33" width="13.5703125" bestFit="1" customWidth="1"/>
    <col min="34" max="34" width="16.28515625" bestFit="1" customWidth="1"/>
    <col min="35" max="35" width="16.5703125" bestFit="1" customWidth="1"/>
    <col min="36" max="36" width="15.85546875" bestFit="1" customWidth="1"/>
    <col min="37" max="37" width="15" bestFit="1" customWidth="1"/>
    <col min="38" max="38" width="17.7109375" bestFit="1" customWidth="1"/>
    <col min="39" max="39" width="24.42578125" bestFit="1" customWidth="1"/>
    <col min="40" max="40" width="12.85546875" customWidth="1"/>
  </cols>
  <sheetData>
    <row r="1" spans="1:40" s="1" customFormat="1" x14ac:dyDescent="0.25">
      <c r="A1" s="1" t="s">
        <v>0</v>
      </c>
      <c r="B1" s="1" t="s">
        <v>1</v>
      </c>
      <c r="C1" s="1" t="s">
        <v>2</v>
      </c>
      <c r="D1" s="7" t="s">
        <v>75</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7" t="s">
        <v>49</v>
      </c>
      <c r="X1" s="1" t="s">
        <v>21</v>
      </c>
      <c r="Y1" s="1" t="s">
        <v>22</v>
      </c>
      <c r="Z1" s="1" t="s">
        <v>23</v>
      </c>
      <c r="AA1" s="1" t="s">
        <v>24</v>
      </c>
      <c r="AB1" s="1" t="s">
        <v>25</v>
      </c>
      <c r="AC1" s="1" t="s">
        <v>26</v>
      </c>
      <c r="AD1" s="1" t="s">
        <v>27</v>
      </c>
      <c r="AE1" s="1" t="s">
        <v>28</v>
      </c>
      <c r="AF1" s="1" t="s">
        <v>29</v>
      </c>
      <c r="AG1" s="7" t="s">
        <v>50</v>
      </c>
      <c r="AH1" s="7" t="s">
        <v>51</v>
      </c>
      <c r="AI1" s="7" t="s">
        <v>52</v>
      </c>
      <c r="AJ1" s="7" t="s">
        <v>66</v>
      </c>
      <c r="AK1" s="7" t="s">
        <v>53</v>
      </c>
      <c r="AL1" s="7" t="s">
        <v>54</v>
      </c>
      <c r="AM1" s="7" t="s">
        <v>55</v>
      </c>
      <c r="AN1" s="7" t="s">
        <v>56</v>
      </c>
    </row>
    <row r="2" spans="1:40" x14ac:dyDescent="0.25">
      <c r="A2" t="s">
        <v>30</v>
      </c>
      <c r="B2">
        <v>2013</v>
      </c>
      <c r="C2" t="s">
        <v>31</v>
      </c>
      <c r="D2" t="str">
        <f>CONCATENATE($B2," ",$C2)</f>
        <v>2013 January</v>
      </c>
      <c r="E2">
        <v>107.5</v>
      </c>
      <c r="F2">
        <v>106.3</v>
      </c>
      <c r="G2">
        <v>108.1</v>
      </c>
      <c r="H2">
        <v>104.9</v>
      </c>
      <c r="I2">
        <v>106.1</v>
      </c>
      <c r="J2">
        <v>103.9</v>
      </c>
      <c r="K2">
        <v>101.9</v>
      </c>
      <c r="L2">
        <v>106.1</v>
      </c>
      <c r="M2">
        <v>106.8</v>
      </c>
      <c r="N2">
        <v>103.1</v>
      </c>
      <c r="O2">
        <v>104.8</v>
      </c>
      <c r="P2">
        <v>106.7</v>
      </c>
      <c r="Q2">
        <v>105.5</v>
      </c>
      <c r="R2">
        <v>105.1</v>
      </c>
      <c r="S2">
        <v>106.5</v>
      </c>
      <c r="T2">
        <v>105.8</v>
      </c>
      <c r="U2">
        <v>106.4</v>
      </c>
      <c r="V2" t="s">
        <v>47</v>
      </c>
      <c r="W2">
        <v>100.3</v>
      </c>
      <c r="X2">
        <v>105.5</v>
      </c>
      <c r="Y2">
        <v>104.8</v>
      </c>
      <c r="Z2">
        <v>104</v>
      </c>
      <c r="AA2">
        <v>103.3</v>
      </c>
      <c r="AB2">
        <v>103.4</v>
      </c>
      <c r="AC2">
        <v>103.8</v>
      </c>
      <c r="AD2">
        <v>104.7</v>
      </c>
      <c r="AE2">
        <v>104</v>
      </c>
      <c r="AF2">
        <v>105.1</v>
      </c>
      <c r="AG2" s="29">
        <f>E2+F2+G2+H2+I2+J2+K2+L2+M2+N2+O2+P2+Q2</f>
        <v>1371.6999999999998</v>
      </c>
      <c r="AH2">
        <v>105.1</v>
      </c>
      <c r="AI2" s="29">
        <f>S2+T2</f>
        <v>212.3</v>
      </c>
      <c r="AJ2" s="29">
        <f>W2+X2+Y2+AD2+AE2</f>
        <v>519.29999999999995</v>
      </c>
      <c r="AK2">
        <v>104</v>
      </c>
      <c r="AL2">
        <v>103.3</v>
      </c>
      <c r="AM2">
        <v>103.4</v>
      </c>
      <c r="AN2">
        <v>103.8</v>
      </c>
    </row>
    <row r="3" spans="1:40" x14ac:dyDescent="0.25">
      <c r="A3" t="s">
        <v>32</v>
      </c>
      <c r="B3">
        <v>2013</v>
      </c>
      <c r="C3" t="s">
        <v>31</v>
      </c>
      <c r="D3" t="s">
        <v>113</v>
      </c>
      <c r="E3">
        <v>110.5</v>
      </c>
      <c r="F3">
        <v>109.1</v>
      </c>
      <c r="G3">
        <v>113</v>
      </c>
      <c r="H3">
        <v>103.6</v>
      </c>
      <c r="I3">
        <v>103.4</v>
      </c>
      <c r="J3">
        <v>102.3</v>
      </c>
      <c r="K3">
        <v>102.9</v>
      </c>
      <c r="L3">
        <v>105.8</v>
      </c>
      <c r="M3">
        <v>105.1</v>
      </c>
      <c r="N3">
        <v>101.8</v>
      </c>
      <c r="O3">
        <v>105.1</v>
      </c>
      <c r="P3">
        <v>107.9</v>
      </c>
      <c r="Q3">
        <v>105.9</v>
      </c>
      <c r="R3">
        <v>105.2</v>
      </c>
      <c r="S3">
        <v>105.9</v>
      </c>
      <c r="T3">
        <v>105</v>
      </c>
      <c r="U3">
        <v>105.8</v>
      </c>
      <c r="V3">
        <v>100.3</v>
      </c>
      <c r="W3">
        <v>100.3</v>
      </c>
      <c r="X3">
        <v>105.4</v>
      </c>
      <c r="Y3">
        <v>104.8</v>
      </c>
      <c r="Z3">
        <v>104.1</v>
      </c>
      <c r="AA3">
        <v>103.2</v>
      </c>
      <c r="AB3">
        <v>102.9</v>
      </c>
      <c r="AC3">
        <v>103.5</v>
      </c>
      <c r="AD3">
        <v>104.3</v>
      </c>
      <c r="AE3">
        <v>103.7</v>
      </c>
      <c r="AF3">
        <v>104</v>
      </c>
      <c r="AG3">
        <v>1376.4</v>
      </c>
      <c r="AH3">
        <v>105.2</v>
      </c>
      <c r="AI3">
        <v>210.9</v>
      </c>
      <c r="AJ3">
        <v>518.5</v>
      </c>
      <c r="AK3">
        <v>104.1</v>
      </c>
      <c r="AL3">
        <v>103.2</v>
      </c>
      <c r="AM3">
        <v>102.9</v>
      </c>
      <c r="AN3">
        <v>103.5</v>
      </c>
    </row>
    <row r="4" spans="1:40" x14ac:dyDescent="0.25">
      <c r="A4" t="s">
        <v>33</v>
      </c>
      <c r="B4">
        <v>2013</v>
      </c>
      <c r="C4" t="s">
        <v>31</v>
      </c>
      <c r="D4" t="s">
        <v>113</v>
      </c>
      <c r="E4">
        <v>108.4</v>
      </c>
      <c r="F4">
        <v>107.3</v>
      </c>
      <c r="G4">
        <v>110</v>
      </c>
      <c r="H4">
        <v>104.4</v>
      </c>
      <c r="I4">
        <v>105.1</v>
      </c>
      <c r="J4">
        <v>103.2</v>
      </c>
      <c r="K4">
        <v>102.2</v>
      </c>
      <c r="L4">
        <v>106</v>
      </c>
      <c r="M4">
        <v>106.2</v>
      </c>
      <c r="N4">
        <v>102.7</v>
      </c>
      <c r="O4">
        <v>104.9</v>
      </c>
      <c r="P4">
        <v>107.3</v>
      </c>
      <c r="Q4">
        <v>105.6</v>
      </c>
      <c r="R4">
        <v>105.1</v>
      </c>
      <c r="S4">
        <v>106.3</v>
      </c>
      <c r="T4">
        <v>105.5</v>
      </c>
      <c r="U4">
        <v>106.2</v>
      </c>
      <c r="V4">
        <v>100.3</v>
      </c>
      <c r="W4">
        <v>100.3</v>
      </c>
      <c r="X4">
        <v>105.5</v>
      </c>
      <c r="Y4">
        <v>104.8</v>
      </c>
      <c r="Z4">
        <v>104</v>
      </c>
      <c r="AA4">
        <v>103.2</v>
      </c>
      <c r="AB4">
        <v>103.1</v>
      </c>
      <c r="AC4">
        <v>103.6</v>
      </c>
      <c r="AD4">
        <v>104.5</v>
      </c>
      <c r="AE4">
        <v>103.9</v>
      </c>
      <c r="AF4">
        <v>104.6</v>
      </c>
      <c r="AG4">
        <v>1373.3000000000002</v>
      </c>
      <c r="AH4">
        <v>105.1</v>
      </c>
      <c r="AI4">
        <v>211.8</v>
      </c>
      <c r="AJ4">
        <v>519</v>
      </c>
      <c r="AK4">
        <v>104</v>
      </c>
      <c r="AL4">
        <v>103.2</v>
      </c>
      <c r="AM4">
        <v>103.1</v>
      </c>
      <c r="AN4">
        <v>103.6</v>
      </c>
    </row>
    <row r="5" spans="1:40" x14ac:dyDescent="0.25">
      <c r="A5" t="s">
        <v>30</v>
      </c>
      <c r="B5">
        <v>2013</v>
      </c>
      <c r="C5" t="s">
        <v>34</v>
      </c>
      <c r="D5" t="s">
        <v>112</v>
      </c>
      <c r="E5">
        <v>109.2</v>
      </c>
      <c r="F5">
        <v>108.7</v>
      </c>
      <c r="G5">
        <v>110.2</v>
      </c>
      <c r="H5">
        <v>105.4</v>
      </c>
      <c r="I5">
        <v>106.7</v>
      </c>
      <c r="J5">
        <v>104</v>
      </c>
      <c r="K5">
        <v>102.4</v>
      </c>
      <c r="L5">
        <v>105.9</v>
      </c>
      <c r="M5">
        <v>105.7</v>
      </c>
      <c r="N5">
        <v>103.1</v>
      </c>
      <c r="O5">
        <v>105.1</v>
      </c>
      <c r="P5">
        <v>107.7</v>
      </c>
      <c r="Q5">
        <v>106.3</v>
      </c>
      <c r="R5">
        <v>105.6</v>
      </c>
      <c r="S5">
        <v>107.1</v>
      </c>
      <c r="T5">
        <v>106.3</v>
      </c>
      <c r="U5">
        <v>107</v>
      </c>
      <c r="V5" t="s">
        <v>47</v>
      </c>
      <c r="W5">
        <v>100.4</v>
      </c>
      <c r="X5">
        <v>106.2</v>
      </c>
      <c r="Y5">
        <v>105.2</v>
      </c>
      <c r="Z5">
        <v>104.4</v>
      </c>
      <c r="AA5">
        <v>103.9</v>
      </c>
      <c r="AB5">
        <v>104</v>
      </c>
      <c r="AC5">
        <v>104.1</v>
      </c>
      <c r="AD5">
        <v>104.6</v>
      </c>
      <c r="AE5">
        <v>104.4</v>
      </c>
      <c r="AF5">
        <v>105.8</v>
      </c>
      <c r="AG5">
        <v>1380.3999999999999</v>
      </c>
      <c r="AH5">
        <v>105.6</v>
      </c>
      <c r="AI5">
        <v>213.39999999999998</v>
      </c>
      <c r="AJ5">
        <v>520.79999999999995</v>
      </c>
      <c r="AK5">
        <v>104.4</v>
      </c>
      <c r="AL5">
        <v>103.9</v>
      </c>
      <c r="AM5">
        <v>104</v>
      </c>
      <c r="AN5">
        <v>104.1</v>
      </c>
    </row>
    <row r="6" spans="1:40" x14ac:dyDescent="0.25">
      <c r="A6" t="s">
        <v>32</v>
      </c>
      <c r="B6">
        <v>2013</v>
      </c>
      <c r="C6" t="s">
        <v>34</v>
      </c>
      <c r="D6" t="s">
        <v>112</v>
      </c>
      <c r="E6">
        <v>112.9</v>
      </c>
      <c r="F6">
        <v>112.9</v>
      </c>
      <c r="G6">
        <v>116.9</v>
      </c>
      <c r="H6">
        <v>104</v>
      </c>
      <c r="I6">
        <v>103.5</v>
      </c>
      <c r="J6">
        <v>103.1</v>
      </c>
      <c r="K6">
        <v>104.9</v>
      </c>
      <c r="L6">
        <v>104.1</v>
      </c>
      <c r="M6">
        <v>103.8</v>
      </c>
      <c r="N6">
        <v>102.3</v>
      </c>
      <c r="O6">
        <v>106</v>
      </c>
      <c r="P6">
        <v>109</v>
      </c>
      <c r="Q6">
        <v>107.2</v>
      </c>
      <c r="R6">
        <v>106</v>
      </c>
      <c r="S6">
        <v>106.6</v>
      </c>
      <c r="T6">
        <v>105.5</v>
      </c>
      <c r="U6">
        <v>106.4</v>
      </c>
      <c r="V6">
        <v>100.4</v>
      </c>
      <c r="W6">
        <v>100.4</v>
      </c>
      <c r="X6">
        <v>105.7</v>
      </c>
      <c r="Y6">
        <v>105.2</v>
      </c>
      <c r="Z6">
        <v>104.7</v>
      </c>
      <c r="AA6">
        <v>104.4</v>
      </c>
      <c r="AB6">
        <v>103.3</v>
      </c>
      <c r="AC6">
        <v>103.7</v>
      </c>
      <c r="AD6">
        <v>104.3</v>
      </c>
      <c r="AE6">
        <v>104.3</v>
      </c>
      <c r="AF6">
        <v>104.7</v>
      </c>
      <c r="AG6">
        <v>1390.6000000000001</v>
      </c>
      <c r="AH6">
        <v>106</v>
      </c>
      <c r="AI6">
        <v>212.1</v>
      </c>
      <c r="AJ6">
        <v>519.9</v>
      </c>
      <c r="AK6">
        <v>104.7</v>
      </c>
      <c r="AL6">
        <v>104.4</v>
      </c>
      <c r="AM6">
        <v>103.3</v>
      </c>
      <c r="AN6">
        <v>103.7</v>
      </c>
    </row>
    <row r="7" spans="1:40" x14ac:dyDescent="0.25">
      <c r="A7" t="s">
        <v>33</v>
      </c>
      <c r="B7">
        <v>2013</v>
      </c>
      <c r="C7" t="s">
        <v>34</v>
      </c>
      <c r="D7" t="s">
        <v>112</v>
      </c>
      <c r="E7">
        <v>110.4</v>
      </c>
      <c r="F7">
        <v>110.2</v>
      </c>
      <c r="G7">
        <v>112.8</v>
      </c>
      <c r="H7">
        <v>104.9</v>
      </c>
      <c r="I7">
        <v>105.5</v>
      </c>
      <c r="J7">
        <v>103.6</v>
      </c>
      <c r="K7">
        <v>103.2</v>
      </c>
      <c r="L7">
        <v>105.3</v>
      </c>
      <c r="M7">
        <v>105.1</v>
      </c>
      <c r="N7">
        <v>102.8</v>
      </c>
      <c r="O7">
        <v>105.5</v>
      </c>
      <c r="P7">
        <v>108.3</v>
      </c>
      <c r="Q7">
        <v>106.6</v>
      </c>
      <c r="R7">
        <v>105.7</v>
      </c>
      <c r="S7">
        <v>106.9</v>
      </c>
      <c r="T7">
        <v>106</v>
      </c>
      <c r="U7">
        <v>106.8</v>
      </c>
      <c r="V7">
        <v>100.4</v>
      </c>
      <c r="W7">
        <v>100.4</v>
      </c>
      <c r="X7">
        <v>106</v>
      </c>
      <c r="Y7">
        <v>105.2</v>
      </c>
      <c r="Z7">
        <v>104.5</v>
      </c>
      <c r="AA7">
        <v>104.2</v>
      </c>
      <c r="AB7">
        <v>103.6</v>
      </c>
      <c r="AC7">
        <v>103.9</v>
      </c>
      <c r="AD7">
        <v>104.5</v>
      </c>
      <c r="AE7">
        <v>104.4</v>
      </c>
      <c r="AF7">
        <v>105.3</v>
      </c>
      <c r="AG7">
        <v>1384.2</v>
      </c>
      <c r="AH7">
        <v>105.7</v>
      </c>
      <c r="AI7">
        <v>212.9</v>
      </c>
      <c r="AJ7">
        <v>520.5</v>
      </c>
      <c r="AK7">
        <v>104.5</v>
      </c>
      <c r="AL7">
        <v>104.2</v>
      </c>
      <c r="AM7">
        <v>103.6</v>
      </c>
      <c r="AN7">
        <v>103.9</v>
      </c>
    </row>
    <row r="8" spans="1:40" x14ac:dyDescent="0.25">
      <c r="A8" t="s">
        <v>30</v>
      </c>
      <c r="B8">
        <v>2013</v>
      </c>
      <c r="C8" t="s">
        <v>35</v>
      </c>
      <c r="D8" t="s">
        <v>116</v>
      </c>
      <c r="E8">
        <v>110.2</v>
      </c>
      <c r="F8">
        <v>108.8</v>
      </c>
      <c r="G8">
        <v>109.9</v>
      </c>
      <c r="H8">
        <v>105.6</v>
      </c>
      <c r="I8">
        <v>106.2</v>
      </c>
      <c r="J8">
        <v>105.7</v>
      </c>
      <c r="K8">
        <v>101.4</v>
      </c>
      <c r="L8">
        <v>105.7</v>
      </c>
      <c r="M8">
        <v>105</v>
      </c>
      <c r="N8">
        <v>103.3</v>
      </c>
      <c r="O8">
        <v>105.6</v>
      </c>
      <c r="P8">
        <v>108.2</v>
      </c>
      <c r="Q8">
        <v>106.6</v>
      </c>
      <c r="R8">
        <v>106.5</v>
      </c>
      <c r="S8">
        <v>107.6</v>
      </c>
      <c r="T8">
        <v>106.8</v>
      </c>
      <c r="U8">
        <v>107.5</v>
      </c>
      <c r="V8" t="s">
        <v>47</v>
      </c>
      <c r="W8">
        <v>100.4</v>
      </c>
      <c r="X8">
        <v>106.1</v>
      </c>
      <c r="Y8">
        <v>105.6</v>
      </c>
      <c r="Z8">
        <v>104.7</v>
      </c>
      <c r="AA8">
        <v>104.6</v>
      </c>
      <c r="AB8">
        <v>104</v>
      </c>
      <c r="AC8">
        <v>104.3</v>
      </c>
      <c r="AD8">
        <v>104.3</v>
      </c>
      <c r="AE8">
        <v>104.6</v>
      </c>
      <c r="AF8">
        <v>106</v>
      </c>
      <c r="AG8">
        <v>1382.2</v>
      </c>
      <c r="AH8">
        <v>106.5</v>
      </c>
      <c r="AI8">
        <v>214.39999999999998</v>
      </c>
      <c r="AJ8">
        <v>521</v>
      </c>
      <c r="AK8">
        <v>104.7</v>
      </c>
      <c r="AL8">
        <v>104.6</v>
      </c>
      <c r="AM8">
        <v>104</v>
      </c>
      <c r="AN8">
        <v>104.3</v>
      </c>
    </row>
    <row r="9" spans="1:40" x14ac:dyDescent="0.25">
      <c r="A9" t="s">
        <v>32</v>
      </c>
      <c r="B9">
        <v>2013</v>
      </c>
      <c r="C9" t="s">
        <v>35</v>
      </c>
      <c r="D9" t="s">
        <v>116</v>
      </c>
      <c r="E9">
        <v>113.9</v>
      </c>
      <c r="F9">
        <v>111.4</v>
      </c>
      <c r="G9">
        <v>113.2</v>
      </c>
      <c r="H9">
        <v>104.3</v>
      </c>
      <c r="I9">
        <v>102.7</v>
      </c>
      <c r="J9">
        <v>104.9</v>
      </c>
      <c r="K9">
        <v>103.8</v>
      </c>
      <c r="L9">
        <v>103.5</v>
      </c>
      <c r="M9">
        <v>102.6</v>
      </c>
      <c r="N9">
        <v>102.4</v>
      </c>
      <c r="O9">
        <v>107</v>
      </c>
      <c r="P9">
        <v>109.8</v>
      </c>
      <c r="Q9">
        <v>107.3</v>
      </c>
      <c r="R9">
        <v>106.8</v>
      </c>
      <c r="S9">
        <v>107.2</v>
      </c>
      <c r="T9">
        <v>106</v>
      </c>
      <c r="U9">
        <v>107</v>
      </c>
      <c r="V9">
        <v>100.4</v>
      </c>
      <c r="W9">
        <v>100.4</v>
      </c>
      <c r="X9">
        <v>106</v>
      </c>
      <c r="Y9">
        <v>105.7</v>
      </c>
      <c r="Z9">
        <v>105.2</v>
      </c>
      <c r="AA9">
        <v>105.5</v>
      </c>
      <c r="AB9">
        <v>103.5</v>
      </c>
      <c r="AC9">
        <v>103.8</v>
      </c>
      <c r="AD9">
        <v>104.2</v>
      </c>
      <c r="AE9">
        <v>104.9</v>
      </c>
      <c r="AF9">
        <v>105</v>
      </c>
      <c r="AG9">
        <v>1386.8</v>
      </c>
      <c r="AH9">
        <v>106.8</v>
      </c>
      <c r="AI9">
        <v>213.2</v>
      </c>
      <c r="AJ9">
        <v>521.20000000000005</v>
      </c>
      <c r="AK9">
        <v>105.2</v>
      </c>
      <c r="AL9">
        <v>105.5</v>
      </c>
      <c r="AM9">
        <v>103.5</v>
      </c>
      <c r="AN9">
        <v>103.8</v>
      </c>
    </row>
    <row r="10" spans="1:40" x14ac:dyDescent="0.25">
      <c r="A10" t="s">
        <v>33</v>
      </c>
      <c r="B10">
        <v>2013</v>
      </c>
      <c r="C10" t="s">
        <v>35</v>
      </c>
      <c r="D10" t="s">
        <v>116</v>
      </c>
      <c r="E10">
        <v>111.4</v>
      </c>
      <c r="F10">
        <v>109.7</v>
      </c>
      <c r="G10">
        <v>111.2</v>
      </c>
      <c r="H10">
        <v>105.1</v>
      </c>
      <c r="I10">
        <v>104.9</v>
      </c>
      <c r="J10">
        <v>105.3</v>
      </c>
      <c r="K10">
        <v>102.2</v>
      </c>
      <c r="L10">
        <v>105</v>
      </c>
      <c r="M10">
        <v>104.2</v>
      </c>
      <c r="N10">
        <v>103</v>
      </c>
      <c r="O10">
        <v>106.2</v>
      </c>
      <c r="P10">
        <v>108.9</v>
      </c>
      <c r="Q10">
        <v>106.9</v>
      </c>
      <c r="R10">
        <v>106.6</v>
      </c>
      <c r="S10">
        <v>107.4</v>
      </c>
      <c r="T10">
        <v>106.5</v>
      </c>
      <c r="U10">
        <v>107.3</v>
      </c>
      <c r="V10">
        <v>100.4</v>
      </c>
      <c r="W10">
        <v>100.4</v>
      </c>
      <c r="X10">
        <v>106.1</v>
      </c>
      <c r="Y10">
        <v>105.6</v>
      </c>
      <c r="Z10">
        <v>104.9</v>
      </c>
      <c r="AA10">
        <v>105.1</v>
      </c>
      <c r="AB10">
        <v>103.7</v>
      </c>
      <c r="AC10">
        <v>104</v>
      </c>
      <c r="AD10">
        <v>104.3</v>
      </c>
      <c r="AE10">
        <v>104.7</v>
      </c>
      <c r="AF10">
        <v>105.5</v>
      </c>
      <c r="AG10">
        <v>1384.0000000000002</v>
      </c>
      <c r="AH10">
        <v>106.6</v>
      </c>
      <c r="AI10">
        <v>213.9</v>
      </c>
      <c r="AJ10">
        <v>521.1</v>
      </c>
      <c r="AK10">
        <v>104.9</v>
      </c>
      <c r="AL10">
        <v>105.1</v>
      </c>
      <c r="AM10">
        <v>103.7</v>
      </c>
      <c r="AN10">
        <v>104</v>
      </c>
    </row>
    <row r="11" spans="1:40" x14ac:dyDescent="0.25">
      <c r="A11" t="s">
        <v>30</v>
      </c>
      <c r="B11">
        <v>2013</v>
      </c>
      <c r="C11" t="s">
        <v>36</v>
      </c>
      <c r="D11" t="s">
        <v>109</v>
      </c>
      <c r="E11">
        <v>110.2</v>
      </c>
      <c r="F11">
        <v>109.5</v>
      </c>
      <c r="G11">
        <v>106.9</v>
      </c>
      <c r="H11">
        <v>106.3</v>
      </c>
      <c r="I11">
        <v>105.7</v>
      </c>
      <c r="J11">
        <v>108.3</v>
      </c>
      <c r="K11">
        <v>103.4</v>
      </c>
      <c r="L11">
        <v>105.7</v>
      </c>
      <c r="M11">
        <v>104.2</v>
      </c>
      <c r="N11">
        <v>103.2</v>
      </c>
      <c r="O11">
        <v>106.5</v>
      </c>
      <c r="P11">
        <v>108.8</v>
      </c>
      <c r="Q11">
        <v>107.1</v>
      </c>
      <c r="R11">
        <v>107.1</v>
      </c>
      <c r="S11">
        <v>108.1</v>
      </c>
      <c r="T11">
        <v>107.4</v>
      </c>
      <c r="U11">
        <v>108</v>
      </c>
      <c r="V11" t="s">
        <v>47</v>
      </c>
      <c r="W11">
        <v>100.5</v>
      </c>
      <c r="X11">
        <v>106.5</v>
      </c>
      <c r="Y11">
        <v>106.1</v>
      </c>
      <c r="Z11">
        <v>105.1</v>
      </c>
      <c r="AA11">
        <v>104.4</v>
      </c>
      <c r="AB11">
        <v>104.5</v>
      </c>
      <c r="AC11">
        <v>104.8</v>
      </c>
      <c r="AD11">
        <v>102.7</v>
      </c>
      <c r="AE11">
        <v>104.6</v>
      </c>
      <c r="AF11">
        <v>106.4</v>
      </c>
      <c r="AG11">
        <v>1385.8</v>
      </c>
      <c r="AH11">
        <v>107.1</v>
      </c>
      <c r="AI11">
        <v>215.5</v>
      </c>
      <c r="AJ11">
        <v>520.4</v>
      </c>
      <c r="AK11">
        <v>105.1</v>
      </c>
      <c r="AL11">
        <v>104.4</v>
      </c>
      <c r="AM11">
        <v>104.5</v>
      </c>
      <c r="AN11">
        <v>104.8</v>
      </c>
    </row>
    <row r="12" spans="1:40" x14ac:dyDescent="0.25">
      <c r="A12" t="s">
        <v>32</v>
      </c>
      <c r="B12">
        <v>2013</v>
      </c>
      <c r="C12" t="s">
        <v>36</v>
      </c>
      <c r="D12" t="s">
        <v>109</v>
      </c>
      <c r="E12">
        <v>114.6</v>
      </c>
      <c r="F12">
        <v>113.4</v>
      </c>
      <c r="G12">
        <v>106</v>
      </c>
      <c r="H12">
        <v>104.7</v>
      </c>
      <c r="I12">
        <v>102.1</v>
      </c>
      <c r="J12">
        <v>109.5</v>
      </c>
      <c r="K12">
        <v>109.7</v>
      </c>
      <c r="L12">
        <v>104.6</v>
      </c>
      <c r="M12">
        <v>102</v>
      </c>
      <c r="N12">
        <v>103.5</v>
      </c>
      <c r="O12">
        <v>108.2</v>
      </c>
      <c r="P12">
        <v>110.6</v>
      </c>
      <c r="Q12">
        <v>108.8</v>
      </c>
      <c r="R12">
        <v>108.5</v>
      </c>
      <c r="S12">
        <v>107.9</v>
      </c>
      <c r="T12">
        <v>106.4</v>
      </c>
      <c r="U12">
        <v>107.7</v>
      </c>
      <c r="V12">
        <v>100.5</v>
      </c>
      <c r="W12">
        <v>100.5</v>
      </c>
      <c r="X12">
        <v>106.4</v>
      </c>
      <c r="Y12">
        <v>106.5</v>
      </c>
      <c r="Z12">
        <v>105.7</v>
      </c>
      <c r="AA12">
        <v>105</v>
      </c>
      <c r="AB12">
        <v>104</v>
      </c>
      <c r="AC12">
        <v>105.2</v>
      </c>
      <c r="AD12">
        <v>103.2</v>
      </c>
      <c r="AE12">
        <v>105.1</v>
      </c>
      <c r="AF12">
        <v>105.7</v>
      </c>
      <c r="AG12">
        <v>1397.6999999999998</v>
      </c>
      <c r="AH12">
        <v>108.5</v>
      </c>
      <c r="AI12">
        <v>214.3</v>
      </c>
      <c r="AJ12">
        <v>521.69999999999993</v>
      </c>
      <c r="AK12">
        <v>105.7</v>
      </c>
      <c r="AL12">
        <v>105</v>
      </c>
      <c r="AM12">
        <v>104</v>
      </c>
      <c r="AN12">
        <v>105.2</v>
      </c>
    </row>
    <row r="13" spans="1:40" x14ac:dyDescent="0.25">
      <c r="A13" t="s">
        <v>33</v>
      </c>
      <c r="B13">
        <v>2013</v>
      </c>
      <c r="C13" t="s">
        <v>36</v>
      </c>
      <c r="D13" t="s">
        <v>109</v>
      </c>
      <c r="E13">
        <v>111.6</v>
      </c>
      <c r="F13">
        <v>110.9</v>
      </c>
      <c r="G13">
        <v>106.6</v>
      </c>
      <c r="H13">
        <v>105.7</v>
      </c>
      <c r="I13">
        <v>104.4</v>
      </c>
      <c r="J13">
        <v>108.9</v>
      </c>
      <c r="K13">
        <v>105.5</v>
      </c>
      <c r="L13">
        <v>105.3</v>
      </c>
      <c r="M13">
        <v>103.5</v>
      </c>
      <c r="N13">
        <v>103.3</v>
      </c>
      <c r="O13">
        <v>107.2</v>
      </c>
      <c r="P13">
        <v>109.6</v>
      </c>
      <c r="Q13">
        <v>107.7</v>
      </c>
      <c r="R13">
        <v>107.5</v>
      </c>
      <c r="S13">
        <v>108</v>
      </c>
      <c r="T13">
        <v>107</v>
      </c>
      <c r="U13">
        <v>107.9</v>
      </c>
      <c r="V13">
        <v>100.5</v>
      </c>
      <c r="W13">
        <v>100.5</v>
      </c>
      <c r="X13">
        <v>106.5</v>
      </c>
      <c r="Y13">
        <v>106.3</v>
      </c>
      <c r="Z13">
        <v>105.3</v>
      </c>
      <c r="AA13">
        <v>104.7</v>
      </c>
      <c r="AB13">
        <v>104.2</v>
      </c>
      <c r="AC13">
        <v>105</v>
      </c>
      <c r="AD13">
        <v>102.9</v>
      </c>
      <c r="AE13">
        <v>104.8</v>
      </c>
      <c r="AF13">
        <v>106.1</v>
      </c>
      <c r="AG13">
        <v>1390.2</v>
      </c>
      <c r="AH13">
        <v>107.5</v>
      </c>
      <c r="AI13">
        <v>215</v>
      </c>
      <c r="AJ13">
        <v>521</v>
      </c>
      <c r="AK13">
        <v>105.3</v>
      </c>
      <c r="AL13">
        <v>104.7</v>
      </c>
      <c r="AM13">
        <v>104.2</v>
      </c>
      <c r="AN13">
        <v>105</v>
      </c>
    </row>
    <row r="14" spans="1:40" x14ac:dyDescent="0.25">
      <c r="A14" t="s">
        <v>30</v>
      </c>
      <c r="B14">
        <v>2013</v>
      </c>
      <c r="C14" t="s">
        <v>37</v>
      </c>
      <c r="D14" t="s">
        <v>117</v>
      </c>
      <c r="E14">
        <v>110.9</v>
      </c>
      <c r="F14">
        <v>109.8</v>
      </c>
      <c r="G14">
        <v>105.9</v>
      </c>
      <c r="H14">
        <v>107.5</v>
      </c>
      <c r="I14">
        <v>105.3</v>
      </c>
      <c r="J14">
        <v>108.1</v>
      </c>
      <c r="K14">
        <v>107.3</v>
      </c>
      <c r="L14">
        <v>106.1</v>
      </c>
      <c r="M14">
        <v>103.7</v>
      </c>
      <c r="N14">
        <v>104</v>
      </c>
      <c r="O14">
        <v>107.4</v>
      </c>
      <c r="P14">
        <v>109.9</v>
      </c>
      <c r="Q14">
        <v>108.1</v>
      </c>
      <c r="R14">
        <v>108.1</v>
      </c>
      <c r="S14">
        <v>108.8</v>
      </c>
      <c r="T14">
        <v>107.9</v>
      </c>
      <c r="U14">
        <v>108.6</v>
      </c>
      <c r="V14" t="s">
        <v>47</v>
      </c>
      <c r="W14">
        <v>100.5</v>
      </c>
      <c r="X14">
        <v>107.5</v>
      </c>
      <c r="Y14">
        <v>106.8</v>
      </c>
      <c r="Z14">
        <v>105.7</v>
      </c>
      <c r="AA14">
        <v>104.1</v>
      </c>
      <c r="AB14">
        <v>105</v>
      </c>
      <c r="AC14">
        <v>105.5</v>
      </c>
      <c r="AD14">
        <v>102.1</v>
      </c>
      <c r="AE14">
        <v>104.8</v>
      </c>
      <c r="AF14">
        <v>107.2</v>
      </c>
      <c r="AG14">
        <v>1394</v>
      </c>
      <c r="AH14">
        <v>108.1</v>
      </c>
      <c r="AI14">
        <v>216.7</v>
      </c>
      <c r="AJ14">
        <v>521.69999999999993</v>
      </c>
      <c r="AK14">
        <v>105.7</v>
      </c>
      <c r="AL14">
        <v>104.1</v>
      </c>
      <c r="AM14">
        <v>105</v>
      </c>
      <c r="AN14">
        <v>105.5</v>
      </c>
    </row>
    <row r="15" spans="1:40" x14ac:dyDescent="0.25">
      <c r="A15" t="s">
        <v>32</v>
      </c>
      <c r="B15">
        <v>2013</v>
      </c>
      <c r="C15" t="s">
        <v>37</v>
      </c>
      <c r="D15" t="s">
        <v>117</v>
      </c>
      <c r="E15">
        <v>115.4</v>
      </c>
      <c r="F15">
        <v>114.2</v>
      </c>
      <c r="G15">
        <v>102.7</v>
      </c>
      <c r="H15">
        <v>105.5</v>
      </c>
      <c r="I15">
        <v>101.5</v>
      </c>
      <c r="J15">
        <v>110.6</v>
      </c>
      <c r="K15">
        <v>123.7</v>
      </c>
      <c r="L15">
        <v>105.2</v>
      </c>
      <c r="M15">
        <v>101.9</v>
      </c>
      <c r="N15">
        <v>105</v>
      </c>
      <c r="O15">
        <v>109.1</v>
      </c>
      <c r="P15">
        <v>111.3</v>
      </c>
      <c r="Q15">
        <v>111.1</v>
      </c>
      <c r="R15">
        <v>109.8</v>
      </c>
      <c r="S15">
        <v>108.5</v>
      </c>
      <c r="T15">
        <v>106.7</v>
      </c>
      <c r="U15">
        <v>108.3</v>
      </c>
      <c r="V15">
        <v>100.5</v>
      </c>
      <c r="W15">
        <v>100.5</v>
      </c>
      <c r="X15">
        <v>107.2</v>
      </c>
      <c r="Y15">
        <v>107.1</v>
      </c>
      <c r="Z15">
        <v>106.2</v>
      </c>
      <c r="AA15">
        <v>103.9</v>
      </c>
      <c r="AB15">
        <v>104.6</v>
      </c>
      <c r="AC15">
        <v>105.7</v>
      </c>
      <c r="AD15">
        <v>102.6</v>
      </c>
      <c r="AE15">
        <v>104.9</v>
      </c>
      <c r="AF15">
        <v>106.6</v>
      </c>
      <c r="AG15">
        <v>1417.1999999999998</v>
      </c>
      <c r="AH15">
        <v>109.8</v>
      </c>
      <c r="AI15">
        <v>215.2</v>
      </c>
      <c r="AJ15">
        <v>522.29999999999995</v>
      </c>
      <c r="AK15">
        <v>106.2</v>
      </c>
      <c r="AL15">
        <v>103.9</v>
      </c>
      <c r="AM15">
        <v>104.6</v>
      </c>
      <c r="AN15">
        <v>105.7</v>
      </c>
    </row>
    <row r="16" spans="1:40" x14ac:dyDescent="0.25">
      <c r="A16" t="s">
        <v>33</v>
      </c>
      <c r="B16">
        <v>2013</v>
      </c>
      <c r="C16" t="s">
        <v>37</v>
      </c>
      <c r="D16" t="s">
        <v>117</v>
      </c>
      <c r="E16">
        <v>112.3</v>
      </c>
      <c r="F16">
        <v>111.3</v>
      </c>
      <c r="G16">
        <v>104.7</v>
      </c>
      <c r="H16">
        <v>106.8</v>
      </c>
      <c r="I16">
        <v>103.9</v>
      </c>
      <c r="J16">
        <v>109.3</v>
      </c>
      <c r="K16">
        <v>112.9</v>
      </c>
      <c r="L16">
        <v>105.8</v>
      </c>
      <c r="M16">
        <v>103.1</v>
      </c>
      <c r="N16">
        <v>104.3</v>
      </c>
      <c r="O16">
        <v>108.1</v>
      </c>
      <c r="P16">
        <v>110.5</v>
      </c>
      <c r="Q16">
        <v>109.2</v>
      </c>
      <c r="R16">
        <v>108.6</v>
      </c>
      <c r="S16">
        <v>108.7</v>
      </c>
      <c r="T16">
        <v>107.4</v>
      </c>
      <c r="U16">
        <v>108.5</v>
      </c>
      <c r="V16">
        <v>100.5</v>
      </c>
      <c r="W16">
        <v>100.5</v>
      </c>
      <c r="X16">
        <v>107.4</v>
      </c>
      <c r="Y16">
        <v>106.9</v>
      </c>
      <c r="Z16">
        <v>105.9</v>
      </c>
      <c r="AA16">
        <v>104</v>
      </c>
      <c r="AB16">
        <v>104.8</v>
      </c>
      <c r="AC16">
        <v>105.6</v>
      </c>
      <c r="AD16">
        <v>102.3</v>
      </c>
      <c r="AE16">
        <v>104.8</v>
      </c>
      <c r="AF16">
        <v>106.9</v>
      </c>
      <c r="AG16">
        <v>1402.1999999999998</v>
      </c>
      <c r="AH16">
        <v>108.6</v>
      </c>
      <c r="AI16">
        <v>216.10000000000002</v>
      </c>
      <c r="AJ16">
        <v>521.9</v>
      </c>
      <c r="AK16">
        <v>105.9</v>
      </c>
      <c r="AL16">
        <v>104</v>
      </c>
      <c r="AM16">
        <v>104.8</v>
      </c>
      <c r="AN16">
        <v>105.6</v>
      </c>
    </row>
    <row r="17" spans="1:40" x14ac:dyDescent="0.25">
      <c r="A17" t="s">
        <v>30</v>
      </c>
      <c r="B17">
        <v>2013</v>
      </c>
      <c r="C17" t="s">
        <v>38</v>
      </c>
      <c r="D17" t="s">
        <v>115</v>
      </c>
      <c r="E17">
        <v>112.3</v>
      </c>
      <c r="F17">
        <v>112.1</v>
      </c>
      <c r="G17">
        <v>108.1</v>
      </c>
      <c r="H17">
        <v>108.3</v>
      </c>
      <c r="I17">
        <v>105.9</v>
      </c>
      <c r="J17">
        <v>109.2</v>
      </c>
      <c r="K17">
        <v>118</v>
      </c>
      <c r="L17">
        <v>106.8</v>
      </c>
      <c r="M17">
        <v>104.1</v>
      </c>
      <c r="N17">
        <v>105.4</v>
      </c>
      <c r="O17">
        <v>108.2</v>
      </c>
      <c r="P17">
        <v>111</v>
      </c>
      <c r="Q17">
        <v>110.6</v>
      </c>
      <c r="R17">
        <v>109</v>
      </c>
      <c r="S17">
        <v>109.7</v>
      </c>
      <c r="T17">
        <v>108.8</v>
      </c>
      <c r="U17">
        <v>109.5</v>
      </c>
      <c r="V17" t="s">
        <v>47</v>
      </c>
      <c r="W17">
        <v>106.6</v>
      </c>
      <c r="X17">
        <v>108.5</v>
      </c>
      <c r="Y17">
        <v>107.5</v>
      </c>
      <c r="Z17">
        <v>106.3</v>
      </c>
      <c r="AA17">
        <v>105</v>
      </c>
      <c r="AB17">
        <v>105.6</v>
      </c>
      <c r="AC17">
        <v>106.5</v>
      </c>
      <c r="AD17">
        <v>102.5</v>
      </c>
      <c r="AE17">
        <v>105.5</v>
      </c>
      <c r="AF17">
        <v>108.9</v>
      </c>
      <c r="AG17">
        <v>1420</v>
      </c>
      <c r="AH17">
        <v>109</v>
      </c>
      <c r="AI17">
        <v>218.5</v>
      </c>
      <c r="AJ17">
        <v>530.6</v>
      </c>
      <c r="AK17">
        <v>106.3</v>
      </c>
      <c r="AL17">
        <v>105</v>
      </c>
      <c r="AM17">
        <v>105.6</v>
      </c>
      <c r="AN17">
        <v>106.5</v>
      </c>
    </row>
    <row r="18" spans="1:40" x14ac:dyDescent="0.25">
      <c r="A18" t="s">
        <v>32</v>
      </c>
      <c r="B18">
        <v>2013</v>
      </c>
      <c r="C18" t="s">
        <v>38</v>
      </c>
      <c r="D18" t="s">
        <v>115</v>
      </c>
      <c r="E18">
        <v>117</v>
      </c>
      <c r="F18">
        <v>120.1</v>
      </c>
      <c r="G18">
        <v>112.5</v>
      </c>
      <c r="H18">
        <v>107.3</v>
      </c>
      <c r="I18">
        <v>101.3</v>
      </c>
      <c r="J18">
        <v>112.4</v>
      </c>
      <c r="K18">
        <v>143.6</v>
      </c>
      <c r="L18">
        <v>105.4</v>
      </c>
      <c r="M18">
        <v>101.4</v>
      </c>
      <c r="N18">
        <v>106.4</v>
      </c>
      <c r="O18">
        <v>110</v>
      </c>
      <c r="P18">
        <v>112.2</v>
      </c>
      <c r="Q18">
        <v>115</v>
      </c>
      <c r="R18">
        <v>110.9</v>
      </c>
      <c r="S18">
        <v>109.2</v>
      </c>
      <c r="T18">
        <v>107.2</v>
      </c>
      <c r="U18">
        <v>108.9</v>
      </c>
      <c r="V18">
        <v>106.6</v>
      </c>
      <c r="W18">
        <v>106.6</v>
      </c>
      <c r="X18">
        <v>108</v>
      </c>
      <c r="Y18">
        <v>107.7</v>
      </c>
      <c r="Z18">
        <v>106.5</v>
      </c>
      <c r="AA18">
        <v>105.2</v>
      </c>
      <c r="AB18">
        <v>105.2</v>
      </c>
      <c r="AC18">
        <v>108.1</v>
      </c>
      <c r="AD18">
        <v>103.3</v>
      </c>
      <c r="AE18">
        <v>106.1</v>
      </c>
      <c r="AF18">
        <v>109.7</v>
      </c>
      <c r="AG18">
        <v>1464.6000000000001</v>
      </c>
      <c r="AH18">
        <v>110.9</v>
      </c>
      <c r="AI18">
        <v>216.4</v>
      </c>
      <c r="AJ18">
        <v>531.70000000000005</v>
      </c>
      <c r="AK18">
        <v>106.5</v>
      </c>
      <c r="AL18">
        <v>105.2</v>
      </c>
      <c r="AM18">
        <v>105.2</v>
      </c>
      <c r="AN18">
        <v>108.1</v>
      </c>
    </row>
    <row r="19" spans="1:40" x14ac:dyDescent="0.25">
      <c r="A19" t="s">
        <v>33</v>
      </c>
      <c r="B19">
        <v>2013</v>
      </c>
      <c r="C19" t="s">
        <v>38</v>
      </c>
      <c r="D19" t="s">
        <v>115</v>
      </c>
      <c r="E19">
        <v>113.8</v>
      </c>
      <c r="F19">
        <v>114.9</v>
      </c>
      <c r="G19">
        <v>109.8</v>
      </c>
      <c r="H19">
        <v>107.9</v>
      </c>
      <c r="I19">
        <v>104.2</v>
      </c>
      <c r="J19">
        <v>110.7</v>
      </c>
      <c r="K19">
        <v>126.7</v>
      </c>
      <c r="L19">
        <v>106.3</v>
      </c>
      <c r="M19">
        <v>103.2</v>
      </c>
      <c r="N19">
        <v>105.7</v>
      </c>
      <c r="O19">
        <v>109</v>
      </c>
      <c r="P19">
        <v>111.6</v>
      </c>
      <c r="Q19">
        <v>112.2</v>
      </c>
      <c r="R19">
        <v>109.5</v>
      </c>
      <c r="S19">
        <v>109.5</v>
      </c>
      <c r="T19">
        <v>108.1</v>
      </c>
      <c r="U19">
        <v>109.3</v>
      </c>
      <c r="V19">
        <v>106.6</v>
      </c>
      <c r="W19">
        <v>106.6</v>
      </c>
      <c r="X19">
        <v>108.3</v>
      </c>
      <c r="Y19">
        <v>107.6</v>
      </c>
      <c r="Z19">
        <v>106.4</v>
      </c>
      <c r="AA19">
        <v>105.1</v>
      </c>
      <c r="AB19">
        <v>105.4</v>
      </c>
      <c r="AC19">
        <v>107.4</v>
      </c>
      <c r="AD19">
        <v>102.8</v>
      </c>
      <c r="AE19">
        <v>105.8</v>
      </c>
      <c r="AF19">
        <v>109.3</v>
      </c>
      <c r="AG19">
        <v>1436</v>
      </c>
      <c r="AH19">
        <v>109.5</v>
      </c>
      <c r="AI19">
        <v>217.6</v>
      </c>
      <c r="AJ19">
        <v>531.1</v>
      </c>
      <c r="AK19">
        <v>106.4</v>
      </c>
      <c r="AL19">
        <v>105.1</v>
      </c>
      <c r="AM19">
        <v>105.4</v>
      </c>
      <c r="AN19">
        <v>107.4</v>
      </c>
    </row>
    <row r="20" spans="1:40" x14ac:dyDescent="0.25">
      <c r="A20" t="s">
        <v>30</v>
      </c>
      <c r="B20">
        <v>2013</v>
      </c>
      <c r="C20" t="s">
        <v>39</v>
      </c>
      <c r="D20" t="s">
        <v>114</v>
      </c>
      <c r="E20">
        <v>113.4</v>
      </c>
      <c r="F20">
        <v>114.9</v>
      </c>
      <c r="G20">
        <v>110.5</v>
      </c>
      <c r="H20">
        <v>109.3</v>
      </c>
      <c r="I20">
        <v>106.2</v>
      </c>
      <c r="J20">
        <v>110.3</v>
      </c>
      <c r="K20">
        <v>129.19999999999999</v>
      </c>
      <c r="L20">
        <v>107.1</v>
      </c>
      <c r="M20">
        <v>104.3</v>
      </c>
      <c r="N20">
        <v>106.4</v>
      </c>
      <c r="O20">
        <v>109.1</v>
      </c>
      <c r="P20">
        <v>112.1</v>
      </c>
      <c r="Q20">
        <v>113.1</v>
      </c>
      <c r="R20">
        <v>109.8</v>
      </c>
      <c r="S20">
        <v>110.5</v>
      </c>
      <c r="T20">
        <v>109.5</v>
      </c>
      <c r="U20">
        <v>110.3</v>
      </c>
      <c r="V20" t="s">
        <v>47</v>
      </c>
      <c r="W20">
        <v>107.7</v>
      </c>
      <c r="X20">
        <v>109.5</v>
      </c>
      <c r="Y20">
        <v>108.3</v>
      </c>
      <c r="Z20">
        <v>106.9</v>
      </c>
      <c r="AA20">
        <v>106.8</v>
      </c>
      <c r="AB20">
        <v>106.4</v>
      </c>
      <c r="AC20">
        <v>107.8</v>
      </c>
      <c r="AD20">
        <v>102.5</v>
      </c>
      <c r="AE20">
        <v>106.5</v>
      </c>
      <c r="AF20">
        <v>110.7</v>
      </c>
      <c r="AG20">
        <v>1445.8999999999996</v>
      </c>
      <c r="AH20">
        <v>109.8</v>
      </c>
      <c r="AI20">
        <v>220</v>
      </c>
      <c r="AJ20">
        <v>534.5</v>
      </c>
      <c r="AK20">
        <v>106.9</v>
      </c>
      <c r="AL20">
        <v>106.8</v>
      </c>
      <c r="AM20">
        <v>106.4</v>
      </c>
      <c r="AN20">
        <v>107.8</v>
      </c>
    </row>
    <row r="21" spans="1:40" x14ac:dyDescent="0.25">
      <c r="A21" t="s">
        <v>32</v>
      </c>
      <c r="B21">
        <v>2013</v>
      </c>
      <c r="C21" t="s">
        <v>39</v>
      </c>
      <c r="D21" t="s">
        <v>114</v>
      </c>
      <c r="E21">
        <v>117.8</v>
      </c>
      <c r="F21">
        <v>119.2</v>
      </c>
      <c r="G21">
        <v>114</v>
      </c>
      <c r="H21">
        <v>108.3</v>
      </c>
      <c r="I21">
        <v>101.1</v>
      </c>
      <c r="J21">
        <v>113.2</v>
      </c>
      <c r="K21">
        <v>160.9</v>
      </c>
      <c r="L21">
        <v>105.1</v>
      </c>
      <c r="M21">
        <v>101.3</v>
      </c>
      <c r="N21">
        <v>107.5</v>
      </c>
      <c r="O21">
        <v>110.4</v>
      </c>
      <c r="P21">
        <v>113.1</v>
      </c>
      <c r="Q21">
        <v>117.5</v>
      </c>
      <c r="R21">
        <v>111.7</v>
      </c>
      <c r="S21">
        <v>109.8</v>
      </c>
      <c r="T21">
        <v>107.8</v>
      </c>
      <c r="U21">
        <v>109.5</v>
      </c>
      <c r="V21">
        <v>107.7</v>
      </c>
      <c r="W21">
        <v>107.7</v>
      </c>
      <c r="X21">
        <v>108.6</v>
      </c>
      <c r="Y21">
        <v>108.1</v>
      </c>
      <c r="Z21">
        <v>107.1</v>
      </c>
      <c r="AA21">
        <v>107.3</v>
      </c>
      <c r="AB21">
        <v>105.9</v>
      </c>
      <c r="AC21">
        <v>110.1</v>
      </c>
      <c r="AD21">
        <v>103.2</v>
      </c>
      <c r="AE21">
        <v>107.3</v>
      </c>
      <c r="AF21">
        <v>111.4</v>
      </c>
      <c r="AG21">
        <v>1489.4</v>
      </c>
      <c r="AH21">
        <v>111.7</v>
      </c>
      <c r="AI21">
        <v>217.6</v>
      </c>
      <c r="AJ21">
        <v>534.9</v>
      </c>
      <c r="AK21">
        <v>107.1</v>
      </c>
      <c r="AL21">
        <v>107.3</v>
      </c>
      <c r="AM21">
        <v>105.9</v>
      </c>
      <c r="AN21">
        <v>110.1</v>
      </c>
    </row>
    <row r="22" spans="1:40" x14ac:dyDescent="0.25">
      <c r="A22" t="s">
        <v>33</v>
      </c>
      <c r="B22">
        <v>2013</v>
      </c>
      <c r="C22" t="s">
        <v>39</v>
      </c>
      <c r="D22" t="s">
        <v>114</v>
      </c>
      <c r="E22">
        <v>114.8</v>
      </c>
      <c r="F22">
        <v>116.4</v>
      </c>
      <c r="G22">
        <v>111.9</v>
      </c>
      <c r="H22">
        <v>108.9</v>
      </c>
      <c r="I22">
        <v>104.3</v>
      </c>
      <c r="J22">
        <v>111.7</v>
      </c>
      <c r="K22">
        <v>140</v>
      </c>
      <c r="L22">
        <v>106.4</v>
      </c>
      <c r="M22">
        <v>103.3</v>
      </c>
      <c r="N22">
        <v>106.8</v>
      </c>
      <c r="O22">
        <v>109.6</v>
      </c>
      <c r="P22">
        <v>112.6</v>
      </c>
      <c r="Q22">
        <v>114.7</v>
      </c>
      <c r="R22">
        <v>110.3</v>
      </c>
      <c r="S22">
        <v>110.2</v>
      </c>
      <c r="T22">
        <v>108.8</v>
      </c>
      <c r="U22">
        <v>110</v>
      </c>
      <c r="V22">
        <v>107.7</v>
      </c>
      <c r="W22">
        <v>107.7</v>
      </c>
      <c r="X22">
        <v>109.2</v>
      </c>
      <c r="Y22">
        <v>108.2</v>
      </c>
      <c r="Z22">
        <v>107</v>
      </c>
      <c r="AA22">
        <v>107.1</v>
      </c>
      <c r="AB22">
        <v>106.1</v>
      </c>
      <c r="AC22">
        <v>109.1</v>
      </c>
      <c r="AD22">
        <v>102.8</v>
      </c>
      <c r="AE22">
        <v>106.9</v>
      </c>
      <c r="AF22">
        <v>111</v>
      </c>
      <c r="AG22">
        <v>1461.3999999999999</v>
      </c>
      <c r="AH22">
        <v>110.3</v>
      </c>
      <c r="AI22">
        <v>219</v>
      </c>
      <c r="AJ22">
        <v>534.80000000000007</v>
      </c>
      <c r="AK22">
        <v>107</v>
      </c>
      <c r="AL22">
        <v>107.1</v>
      </c>
      <c r="AM22">
        <v>106.1</v>
      </c>
      <c r="AN22">
        <v>109.1</v>
      </c>
    </row>
    <row r="23" spans="1:40" x14ac:dyDescent="0.25">
      <c r="A23" t="s">
        <v>30</v>
      </c>
      <c r="B23">
        <v>2013</v>
      </c>
      <c r="C23" t="s">
        <v>40</v>
      </c>
      <c r="D23" t="s">
        <v>110</v>
      </c>
      <c r="E23">
        <v>114.3</v>
      </c>
      <c r="F23">
        <v>115.4</v>
      </c>
      <c r="G23">
        <v>111.1</v>
      </c>
      <c r="H23">
        <v>110</v>
      </c>
      <c r="I23">
        <v>106.4</v>
      </c>
      <c r="J23">
        <v>110.8</v>
      </c>
      <c r="K23">
        <v>138.9</v>
      </c>
      <c r="L23">
        <v>107.4</v>
      </c>
      <c r="M23">
        <v>104.1</v>
      </c>
      <c r="N23">
        <v>106.9</v>
      </c>
      <c r="O23">
        <v>109.7</v>
      </c>
      <c r="P23">
        <v>112.6</v>
      </c>
      <c r="Q23">
        <v>114.9</v>
      </c>
      <c r="R23">
        <v>110.7</v>
      </c>
      <c r="S23">
        <v>111.3</v>
      </c>
      <c r="T23">
        <v>110.2</v>
      </c>
      <c r="U23">
        <v>111.1</v>
      </c>
      <c r="V23" t="s">
        <v>47</v>
      </c>
      <c r="W23">
        <v>108.9</v>
      </c>
      <c r="X23">
        <v>109.9</v>
      </c>
      <c r="Y23">
        <v>108.7</v>
      </c>
      <c r="Z23">
        <v>107.5</v>
      </c>
      <c r="AA23">
        <v>107.8</v>
      </c>
      <c r="AB23">
        <v>106.8</v>
      </c>
      <c r="AC23">
        <v>108.7</v>
      </c>
      <c r="AD23">
        <v>105</v>
      </c>
      <c r="AE23">
        <v>107.5</v>
      </c>
      <c r="AF23">
        <v>112.1</v>
      </c>
      <c r="AG23">
        <v>1462.5</v>
      </c>
      <c r="AH23">
        <v>110.7</v>
      </c>
      <c r="AI23">
        <v>221.5</v>
      </c>
      <c r="AJ23">
        <v>540</v>
      </c>
      <c r="AK23">
        <v>107.5</v>
      </c>
      <c r="AL23">
        <v>107.8</v>
      </c>
      <c r="AM23">
        <v>106.8</v>
      </c>
      <c r="AN23">
        <v>108.7</v>
      </c>
    </row>
    <row r="24" spans="1:40" x14ac:dyDescent="0.25">
      <c r="A24" t="s">
        <v>32</v>
      </c>
      <c r="B24">
        <v>2013</v>
      </c>
      <c r="C24" t="s">
        <v>40</v>
      </c>
      <c r="D24" t="s">
        <v>110</v>
      </c>
      <c r="E24">
        <v>118.3</v>
      </c>
      <c r="F24">
        <v>120.4</v>
      </c>
      <c r="G24">
        <v>112.7</v>
      </c>
      <c r="H24">
        <v>108.9</v>
      </c>
      <c r="I24">
        <v>101.1</v>
      </c>
      <c r="J24">
        <v>108.7</v>
      </c>
      <c r="K24">
        <v>177</v>
      </c>
      <c r="L24">
        <v>104.7</v>
      </c>
      <c r="M24">
        <v>101</v>
      </c>
      <c r="N24">
        <v>108.5</v>
      </c>
      <c r="O24">
        <v>110.9</v>
      </c>
      <c r="P24">
        <v>114.3</v>
      </c>
      <c r="Q24">
        <v>119.6</v>
      </c>
      <c r="R24">
        <v>112.4</v>
      </c>
      <c r="S24">
        <v>110.6</v>
      </c>
      <c r="T24">
        <v>108.3</v>
      </c>
      <c r="U24">
        <v>110.2</v>
      </c>
      <c r="V24">
        <v>108.9</v>
      </c>
      <c r="W24">
        <v>108.9</v>
      </c>
      <c r="X24">
        <v>109.3</v>
      </c>
      <c r="Y24">
        <v>108.7</v>
      </c>
      <c r="Z24">
        <v>107.6</v>
      </c>
      <c r="AA24">
        <v>108.1</v>
      </c>
      <c r="AB24">
        <v>106.5</v>
      </c>
      <c r="AC24">
        <v>110.8</v>
      </c>
      <c r="AD24">
        <v>106</v>
      </c>
      <c r="AE24">
        <v>108.3</v>
      </c>
      <c r="AF24">
        <v>112.7</v>
      </c>
      <c r="AG24">
        <v>1506.1000000000001</v>
      </c>
      <c r="AH24">
        <v>112.4</v>
      </c>
      <c r="AI24">
        <v>218.89999999999998</v>
      </c>
      <c r="AJ24">
        <v>541.19999999999993</v>
      </c>
      <c r="AK24">
        <v>107.6</v>
      </c>
      <c r="AL24">
        <v>108.1</v>
      </c>
      <c r="AM24">
        <v>106.5</v>
      </c>
      <c r="AN24">
        <v>110.8</v>
      </c>
    </row>
    <row r="25" spans="1:40" x14ac:dyDescent="0.25">
      <c r="A25" t="s">
        <v>33</v>
      </c>
      <c r="B25">
        <v>2013</v>
      </c>
      <c r="C25" t="s">
        <v>40</v>
      </c>
      <c r="D25" t="s">
        <v>110</v>
      </c>
      <c r="E25">
        <v>115.6</v>
      </c>
      <c r="F25">
        <v>117.2</v>
      </c>
      <c r="G25">
        <v>111.7</v>
      </c>
      <c r="H25">
        <v>109.6</v>
      </c>
      <c r="I25">
        <v>104.5</v>
      </c>
      <c r="J25">
        <v>109.8</v>
      </c>
      <c r="K25">
        <v>151.80000000000001</v>
      </c>
      <c r="L25">
        <v>106.5</v>
      </c>
      <c r="M25">
        <v>103.1</v>
      </c>
      <c r="N25">
        <v>107.4</v>
      </c>
      <c r="O25">
        <v>110.2</v>
      </c>
      <c r="P25">
        <v>113.4</v>
      </c>
      <c r="Q25">
        <v>116.6</v>
      </c>
      <c r="R25">
        <v>111.2</v>
      </c>
      <c r="S25">
        <v>111</v>
      </c>
      <c r="T25">
        <v>109.4</v>
      </c>
      <c r="U25">
        <v>110.7</v>
      </c>
      <c r="V25">
        <v>108.9</v>
      </c>
      <c r="W25">
        <v>108.9</v>
      </c>
      <c r="X25">
        <v>109.7</v>
      </c>
      <c r="Y25">
        <v>108.7</v>
      </c>
      <c r="Z25">
        <v>107.5</v>
      </c>
      <c r="AA25">
        <v>108</v>
      </c>
      <c r="AB25">
        <v>106.6</v>
      </c>
      <c r="AC25">
        <v>109.9</v>
      </c>
      <c r="AD25">
        <v>105.4</v>
      </c>
      <c r="AE25">
        <v>107.9</v>
      </c>
      <c r="AF25">
        <v>112.4</v>
      </c>
      <c r="AG25">
        <v>1477.4</v>
      </c>
      <c r="AH25">
        <v>111.2</v>
      </c>
      <c r="AI25">
        <v>220.4</v>
      </c>
      <c r="AJ25">
        <v>540.6</v>
      </c>
      <c r="AK25">
        <v>107.5</v>
      </c>
      <c r="AL25">
        <v>108</v>
      </c>
      <c r="AM25">
        <v>106.6</v>
      </c>
      <c r="AN25">
        <v>109.9</v>
      </c>
    </row>
    <row r="26" spans="1:40" x14ac:dyDescent="0.25">
      <c r="A26" t="s">
        <v>30</v>
      </c>
      <c r="B26">
        <v>2013</v>
      </c>
      <c r="C26" t="s">
        <v>41</v>
      </c>
      <c r="D26" t="s">
        <v>121</v>
      </c>
      <c r="E26">
        <v>115.4</v>
      </c>
      <c r="F26">
        <v>115.7</v>
      </c>
      <c r="G26">
        <v>111.7</v>
      </c>
      <c r="H26">
        <v>111</v>
      </c>
      <c r="I26">
        <v>107.4</v>
      </c>
      <c r="J26">
        <v>110.9</v>
      </c>
      <c r="K26">
        <v>154</v>
      </c>
      <c r="L26">
        <v>108.1</v>
      </c>
      <c r="M26">
        <v>104.2</v>
      </c>
      <c r="N26">
        <v>107.9</v>
      </c>
      <c r="O26">
        <v>110.4</v>
      </c>
      <c r="P26">
        <v>114</v>
      </c>
      <c r="Q26">
        <v>117.8</v>
      </c>
      <c r="R26">
        <v>111.7</v>
      </c>
      <c r="S26">
        <v>112.7</v>
      </c>
      <c r="T26">
        <v>111.4</v>
      </c>
      <c r="U26">
        <v>112.5</v>
      </c>
      <c r="V26" t="s">
        <v>47</v>
      </c>
      <c r="W26">
        <v>109.7</v>
      </c>
      <c r="X26">
        <v>111.1</v>
      </c>
      <c r="Y26">
        <v>109.6</v>
      </c>
      <c r="Z26">
        <v>108.3</v>
      </c>
      <c r="AA26">
        <v>109.3</v>
      </c>
      <c r="AB26">
        <v>107.7</v>
      </c>
      <c r="AC26">
        <v>109.8</v>
      </c>
      <c r="AD26">
        <v>106.7</v>
      </c>
      <c r="AE26">
        <v>108.7</v>
      </c>
      <c r="AF26">
        <v>114.2</v>
      </c>
      <c r="AG26">
        <v>1488.5000000000002</v>
      </c>
      <c r="AH26">
        <v>111.7</v>
      </c>
      <c r="AI26">
        <v>224.10000000000002</v>
      </c>
      <c r="AJ26">
        <v>545.79999999999995</v>
      </c>
      <c r="AK26">
        <v>108.3</v>
      </c>
      <c r="AL26">
        <v>109.3</v>
      </c>
      <c r="AM26">
        <v>107.7</v>
      </c>
      <c r="AN26">
        <v>109.8</v>
      </c>
    </row>
    <row r="27" spans="1:40" x14ac:dyDescent="0.25">
      <c r="A27" t="s">
        <v>32</v>
      </c>
      <c r="B27">
        <v>2013</v>
      </c>
      <c r="C27" t="s">
        <v>41</v>
      </c>
      <c r="D27" t="s">
        <v>121</v>
      </c>
      <c r="E27">
        <v>118.6</v>
      </c>
      <c r="F27">
        <v>119.1</v>
      </c>
      <c r="G27">
        <v>113.2</v>
      </c>
      <c r="H27">
        <v>109.6</v>
      </c>
      <c r="I27">
        <v>101.7</v>
      </c>
      <c r="J27">
        <v>103.2</v>
      </c>
      <c r="K27">
        <v>174.3</v>
      </c>
      <c r="L27">
        <v>105.1</v>
      </c>
      <c r="M27">
        <v>100.8</v>
      </c>
      <c r="N27">
        <v>109.1</v>
      </c>
      <c r="O27">
        <v>111.1</v>
      </c>
      <c r="P27">
        <v>115.4</v>
      </c>
      <c r="Q27">
        <v>119.2</v>
      </c>
      <c r="R27">
        <v>112.9</v>
      </c>
      <c r="S27">
        <v>111.4</v>
      </c>
      <c r="T27">
        <v>109</v>
      </c>
      <c r="U27">
        <v>111.1</v>
      </c>
      <c r="V27">
        <v>109.7</v>
      </c>
      <c r="W27">
        <v>109.7</v>
      </c>
      <c r="X27">
        <v>109.5</v>
      </c>
      <c r="Y27">
        <v>109.6</v>
      </c>
      <c r="Z27">
        <v>107.9</v>
      </c>
      <c r="AA27">
        <v>110.4</v>
      </c>
      <c r="AB27">
        <v>107.4</v>
      </c>
      <c r="AC27">
        <v>111.2</v>
      </c>
      <c r="AD27">
        <v>106.9</v>
      </c>
      <c r="AE27">
        <v>109.4</v>
      </c>
      <c r="AF27">
        <v>113.2</v>
      </c>
      <c r="AG27">
        <v>1500.4</v>
      </c>
      <c r="AH27">
        <v>112.9</v>
      </c>
      <c r="AI27">
        <v>220.4</v>
      </c>
      <c r="AJ27">
        <v>545.09999999999991</v>
      </c>
      <c r="AK27">
        <v>107.9</v>
      </c>
      <c r="AL27">
        <v>110.4</v>
      </c>
      <c r="AM27">
        <v>107.4</v>
      </c>
      <c r="AN27">
        <v>111.2</v>
      </c>
    </row>
    <row r="28" spans="1:40" x14ac:dyDescent="0.25">
      <c r="A28" t="s">
        <v>33</v>
      </c>
      <c r="B28">
        <v>2013</v>
      </c>
      <c r="C28" t="s">
        <v>41</v>
      </c>
      <c r="D28" t="s">
        <v>121</v>
      </c>
      <c r="E28">
        <v>116.4</v>
      </c>
      <c r="F28">
        <v>116.9</v>
      </c>
      <c r="G28">
        <v>112.3</v>
      </c>
      <c r="H28">
        <v>110.5</v>
      </c>
      <c r="I28">
        <v>105.3</v>
      </c>
      <c r="J28">
        <v>107.3</v>
      </c>
      <c r="K28">
        <v>160.9</v>
      </c>
      <c r="L28">
        <v>107.1</v>
      </c>
      <c r="M28">
        <v>103.1</v>
      </c>
      <c r="N28">
        <v>108.3</v>
      </c>
      <c r="O28">
        <v>110.7</v>
      </c>
      <c r="P28">
        <v>114.6</v>
      </c>
      <c r="Q28">
        <v>118.3</v>
      </c>
      <c r="R28">
        <v>112</v>
      </c>
      <c r="S28">
        <v>112.2</v>
      </c>
      <c r="T28">
        <v>110.4</v>
      </c>
      <c r="U28">
        <v>111.9</v>
      </c>
      <c r="V28">
        <v>109.7</v>
      </c>
      <c r="W28">
        <v>109.7</v>
      </c>
      <c r="X28">
        <v>110.5</v>
      </c>
      <c r="Y28">
        <v>109.6</v>
      </c>
      <c r="Z28">
        <v>108.1</v>
      </c>
      <c r="AA28">
        <v>109.9</v>
      </c>
      <c r="AB28">
        <v>107.5</v>
      </c>
      <c r="AC28">
        <v>110.6</v>
      </c>
      <c r="AD28">
        <v>106.8</v>
      </c>
      <c r="AE28">
        <v>109</v>
      </c>
      <c r="AF28">
        <v>113.7</v>
      </c>
      <c r="AG28">
        <v>1491.6999999999998</v>
      </c>
      <c r="AH28">
        <v>112</v>
      </c>
      <c r="AI28">
        <v>222.60000000000002</v>
      </c>
      <c r="AJ28">
        <v>545.59999999999991</v>
      </c>
      <c r="AK28">
        <v>108.1</v>
      </c>
      <c r="AL28">
        <v>109.9</v>
      </c>
      <c r="AM28">
        <v>107.5</v>
      </c>
      <c r="AN28">
        <v>110.6</v>
      </c>
    </row>
    <row r="29" spans="1:40" x14ac:dyDescent="0.25">
      <c r="A29" t="s">
        <v>30</v>
      </c>
      <c r="B29">
        <v>2013</v>
      </c>
      <c r="C29" t="s">
        <v>42</v>
      </c>
      <c r="D29" t="s">
        <v>120</v>
      </c>
      <c r="E29">
        <v>116.3</v>
      </c>
      <c r="F29">
        <v>115.4</v>
      </c>
      <c r="G29">
        <v>112.6</v>
      </c>
      <c r="H29">
        <v>111.7</v>
      </c>
      <c r="I29">
        <v>107.7</v>
      </c>
      <c r="J29">
        <v>113.2</v>
      </c>
      <c r="K29">
        <v>164.9</v>
      </c>
      <c r="L29">
        <v>108.3</v>
      </c>
      <c r="M29">
        <v>103.9</v>
      </c>
      <c r="N29">
        <v>108.2</v>
      </c>
      <c r="O29">
        <v>111.1</v>
      </c>
      <c r="P29">
        <v>114.9</v>
      </c>
      <c r="Q29">
        <v>119.8</v>
      </c>
      <c r="R29">
        <v>112.2</v>
      </c>
      <c r="S29">
        <v>113.6</v>
      </c>
      <c r="T29">
        <v>112.3</v>
      </c>
      <c r="U29">
        <v>113.4</v>
      </c>
      <c r="V29" t="s">
        <v>47</v>
      </c>
      <c r="W29">
        <v>110.5</v>
      </c>
      <c r="X29">
        <v>111.6</v>
      </c>
      <c r="Y29">
        <v>110.4</v>
      </c>
      <c r="Z29">
        <v>108.9</v>
      </c>
      <c r="AA29">
        <v>109.3</v>
      </c>
      <c r="AB29">
        <v>108.3</v>
      </c>
      <c r="AC29">
        <v>110.2</v>
      </c>
      <c r="AD29">
        <v>107.5</v>
      </c>
      <c r="AE29">
        <v>109.1</v>
      </c>
      <c r="AF29">
        <v>115.5</v>
      </c>
      <c r="AG29">
        <v>1508</v>
      </c>
      <c r="AH29">
        <v>112.2</v>
      </c>
      <c r="AI29">
        <v>225.89999999999998</v>
      </c>
      <c r="AJ29">
        <v>549.1</v>
      </c>
      <c r="AK29">
        <v>108.9</v>
      </c>
      <c r="AL29">
        <v>109.3</v>
      </c>
      <c r="AM29">
        <v>108.3</v>
      </c>
      <c r="AN29">
        <v>110.2</v>
      </c>
    </row>
    <row r="30" spans="1:40" x14ac:dyDescent="0.25">
      <c r="A30" t="s">
        <v>32</v>
      </c>
      <c r="B30">
        <v>2013</v>
      </c>
      <c r="C30" t="s">
        <v>42</v>
      </c>
      <c r="D30" t="s">
        <v>120</v>
      </c>
      <c r="E30">
        <v>118.9</v>
      </c>
      <c r="F30">
        <v>118.1</v>
      </c>
      <c r="G30">
        <v>114.5</v>
      </c>
      <c r="H30">
        <v>110.4</v>
      </c>
      <c r="I30">
        <v>102.3</v>
      </c>
      <c r="J30">
        <v>106.2</v>
      </c>
      <c r="K30">
        <v>183.5</v>
      </c>
      <c r="L30">
        <v>105.3</v>
      </c>
      <c r="M30">
        <v>100.2</v>
      </c>
      <c r="N30">
        <v>109.6</v>
      </c>
      <c r="O30">
        <v>111.4</v>
      </c>
      <c r="P30">
        <v>116</v>
      </c>
      <c r="Q30">
        <v>120.8</v>
      </c>
      <c r="R30">
        <v>113.5</v>
      </c>
      <c r="S30">
        <v>112.5</v>
      </c>
      <c r="T30">
        <v>109.7</v>
      </c>
      <c r="U30">
        <v>112</v>
      </c>
      <c r="V30">
        <v>110.5</v>
      </c>
      <c r="W30">
        <v>110.5</v>
      </c>
      <c r="X30">
        <v>109.7</v>
      </c>
      <c r="Y30">
        <v>110.2</v>
      </c>
      <c r="Z30">
        <v>108.2</v>
      </c>
      <c r="AA30">
        <v>109.7</v>
      </c>
      <c r="AB30">
        <v>108</v>
      </c>
      <c r="AC30">
        <v>111.3</v>
      </c>
      <c r="AD30">
        <v>107.3</v>
      </c>
      <c r="AE30">
        <v>109.4</v>
      </c>
      <c r="AF30">
        <v>114</v>
      </c>
      <c r="AG30">
        <v>1517.1999999999998</v>
      </c>
      <c r="AH30">
        <v>113.5</v>
      </c>
      <c r="AI30">
        <v>222.2</v>
      </c>
      <c r="AJ30">
        <v>547.1</v>
      </c>
      <c r="AK30">
        <v>108.2</v>
      </c>
      <c r="AL30">
        <v>109.7</v>
      </c>
      <c r="AM30">
        <v>108</v>
      </c>
      <c r="AN30">
        <v>111.3</v>
      </c>
    </row>
    <row r="31" spans="1:40" x14ac:dyDescent="0.25">
      <c r="A31" t="s">
        <v>33</v>
      </c>
      <c r="B31">
        <v>2013</v>
      </c>
      <c r="C31" t="s">
        <v>42</v>
      </c>
      <c r="D31" t="s">
        <v>120</v>
      </c>
      <c r="E31">
        <v>117.1</v>
      </c>
      <c r="F31">
        <v>116.3</v>
      </c>
      <c r="G31">
        <v>113.3</v>
      </c>
      <c r="H31">
        <v>111.2</v>
      </c>
      <c r="I31">
        <v>105.7</v>
      </c>
      <c r="J31">
        <v>109.9</v>
      </c>
      <c r="K31">
        <v>171.2</v>
      </c>
      <c r="L31">
        <v>107.3</v>
      </c>
      <c r="M31">
        <v>102.7</v>
      </c>
      <c r="N31">
        <v>108.7</v>
      </c>
      <c r="O31">
        <v>111.2</v>
      </c>
      <c r="P31">
        <v>115.4</v>
      </c>
      <c r="Q31">
        <v>120.2</v>
      </c>
      <c r="R31">
        <v>112.5</v>
      </c>
      <c r="S31">
        <v>113.2</v>
      </c>
      <c r="T31">
        <v>111.2</v>
      </c>
      <c r="U31">
        <v>112.8</v>
      </c>
      <c r="V31">
        <v>110.5</v>
      </c>
      <c r="W31">
        <v>110.5</v>
      </c>
      <c r="X31">
        <v>110.9</v>
      </c>
      <c r="Y31">
        <v>110.3</v>
      </c>
      <c r="Z31">
        <v>108.6</v>
      </c>
      <c r="AA31">
        <v>109.5</v>
      </c>
      <c r="AB31">
        <v>108.1</v>
      </c>
      <c r="AC31">
        <v>110.8</v>
      </c>
      <c r="AD31">
        <v>107.4</v>
      </c>
      <c r="AE31">
        <v>109.2</v>
      </c>
      <c r="AF31">
        <v>114.8</v>
      </c>
      <c r="AG31">
        <v>1510.2000000000003</v>
      </c>
      <c r="AH31">
        <v>112.5</v>
      </c>
      <c r="AI31">
        <v>224.4</v>
      </c>
      <c r="AJ31">
        <v>548.30000000000007</v>
      </c>
      <c r="AK31">
        <v>108.6</v>
      </c>
      <c r="AL31">
        <v>109.5</v>
      </c>
      <c r="AM31">
        <v>108.1</v>
      </c>
      <c r="AN31">
        <v>110.8</v>
      </c>
    </row>
    <row r="32" spans="1:40" x14ac:dyDescent="0.25">
      <c r="A32" t="s">
        <v>30</v>
      </c>
      <c r="B32">
        <v>2013</v>
      </c>
      <c r="C32" t="s">
        <v>43</v>
      </c>
      <c r="D32" t="s">
        <v>119</v>
      </c>
      <c r="E32">
        <v>117.3</v>
      </c>
      <c r="F32">
        <v>114.9</v>
      </c>
      <c r="G32">
        <v>116.2</v>
      </c>
      <c r="H32">
        <v>112.8</v>
      </c>
      <c r="I32">
        <v>108.9</v>
      </c>
      <c r="J32">
        <v>116.6</v>
      </c>
      <c r="K32">
        <v>178.1</v>
      </c>
      <c r="L32">
        <v>109.1</v>
      </c>
      <c r="M32">
        <v>103.6</v>
      </c>
      <c r="N32">
        <v>109</v>
      </c>
      <c r="O32">
        <v>111.8</v>
      </c>
      <c r="P32">
        <v>116</v>
      </c>
      <c r="Q32">
        <v>122.5</v>
      </c>
      <c r="R32">
        <v>112.8</v>
      </c>
      <c r="S32">
        <v>114.6</v>
      </c>
      <c r="T32">
        <v>113.1</v>
      </c>
      <c r="U32">
        <v>114.4</v>
      </c>
      <c r="V32" t="s">
        <v>47</v>
      </c>
      <c r="W32">
        <v>111.1</v>
      </c>
      <c r="X32">
        <v>112.6</v>
      </c>
      <c r="Y32">
        <v>111.3</v>
      </c>
      <c r="Z32">
        <v>109.7</v>
      </c>
      <c r="AA32">
        <v>109.6</v>
      </c>
      <c r="AB32">
        <v>108.7</v>
      </c>
      <c r="AC32">
        <v>111</v>
      </c>
      <c r="AD32">
        <v>108.2</v>
      </c>
      <c r="AE32">
        <v>109.8</v>
      </c>
      <c r="AF32">
        <v>117.4</v>
      </c>
      <c r="AG32">
        <v>1536.8</v>
      </c>
      <c r="AH32">
        <v>112.8</v>
      </c>
      <c r="AI32">
        <v>227.7</v>
      </c>
      <c r="AJ32">
        <v>553</v>
      </c>
      <c r="AK32">
        <v>109.7</v>
      </c>
      <c r="AL32">
        <v>109.6</v>
      </c>
      <c r="AM32">
        <v>108.7</v>
      </c>
      <c r="AN32">
        <v>111</v>
      </c>
    </row>
    <row r="33" spans="1:40" x14ac:dyDescent="0.25">
      <c r="A33" t="s">
        <v>32</v>
      </c>
      <c r="B33">
        <v>2013</v>
      </c>
      <c r="C33" t="s">
        <v>44</v>
      </c>
      <c r="D33" t="s">
        <v>118</v>
      </c>
      <c r="E33">
        <v>119.8</v>
      </c>
      <c r="F33">
        <v>116.3</v>
      </c>
      <c r="G33">
        <v>122.6</v>
      </c>
      <c r="H33">
        <v>112</v>
      </c>
      <c r="I33">
        <v>103.2</v>
      </c>
      <c r="J33">
        <v>110</v>
      </c>
      <c r="K33">
        <v>192.8</v>
      </c>
      <c r="L33">
        <v>106.3</v>
      </c>
      <c r="M33">
        <v>99.5</v>
      </c>
      <c r="N33">
        <v>110.3</v>
      </c>
      <c r="O33">
        <v>111.8</v>
      </c>
      <c r="P33">
        <v>117.1</v>
      </c>
      <c r="Q33">
        <v>122.9</v>
      </c>
      <c r="R33">
        <v>114.1</v>
      </c>
      <c r="S33">
        <v>113.5</v>
      </c>
      <c r="T33">
        <v>110.3</v>
      </c>
      <c r="U33">
        <v>113</v>
      </c>
      <c r="V33">
        <v>111.1</v>
      </c>
      <c r="W33">
        <v>111.1</v>
      </c>
      <c r="X33">
        <v>110</v>
      </c>
      <c r="Y33">
        <v>110.9</v>
      </c>
      <c r="Z33">
        <v>108.6</v>
      </c>
      <c r="AA33">
        <v>109.5</v>
      </c>
      <c r="AB33">
        <v>108.5</v>
      </c>
      <c r="AC33">
        <v>111.3</v>
      </c>
      <c r="AD33">
        <v>107.9</v>
      </c>
      <c r="AE33">
        <v>109.6</v>
      </c>
      <c r="AF33">
        <v>115</v>
      </c>
      <c r="AG33">
        <v>1544.6</v>
      </c>
      <c r="AH33">
        <v>114.1</v>
      </c>
      <c r="AI33">
        <v>223.8</v>
      </c>
      <c r="AJ33">
        <v>549.5</v>
      </c>
      <c r="AK33">
        <v>108.6</v>
      </c>
      <c r="AL33">
        <v>109.5</v>
      </c>
      <c r="AM33">
        <v>108.5</v>
      </c>
      <c r="AN33">
        <v>111.3</v>
      </c>
    </row>
    <row r="34" spans="1:40" x14ac:dyDescent="0.25">
      <c r="A34" t="s">
        <v>33</v>
      </c>
      <c r="B34">
        <v>2013</v>
      </c>
      <c r="C34" t="s">
        <v>44</v>
      </c>
      <c r="D34" t="s">
        <v>118</v>
      </c>
      <c r="E34">
        <v>118.1</v>
      </c>
      <c r="F34">
        <v>115.4</v>
      </c>
      <c r="G34">
        <v>118.7</v>
      </c>
      <c r="H34">
        <v>112.5</v>
      </c>
      <c r="I34">
        <v>106.8</v>
      </c>
      <c r="J34">
        <v>113.5</v>
      </c>
      <c r="K34">
        <v>183.1</v>
      </c>
      <c r="L34">
        <v>108.2</v>
      </c>
      <c r="M34">
        <v>102.2</v>
      </c>
      <c r="N34">
        <v>109.4</v>
      </c>
      <c r="O34">
        <v>111.8</v>
      </c>
      <c r="P34">
        <v>116.5</v>
      </c>
      <c r="Q34">
        <v>122.6</v>
      </c>
      <c r="R34">
        <v>113.1</v>
      </c>
      <c r="S34">
        <v>114.2</v>
      </c>
      <c r="T34">
        <v>111.9</v>
      </c>
      <c r="U34">
        <v>113.8</v>
      </c>
      <c r="V34">
        <v>111.1</v>
      </c>
      <c r="W34">
        <v>111.1</v>
      </c>
      <c r="X34">
        <v>111.6</v>
      </c>
      <c r="Y34">
        <v>111.1</v>
      </c>
      <c r="Z34">
        <v>109.3</v>
      </c>
      <c r="AA34">
        <v>109.5</v>
      </c>
      <c r="AB34">
        <v>108.6</v>
      </c>
      <c r="AC34">
        <v>111.2</v>
      </c>
      <c r="AD34">
        <v>108.1</v>
      </c>
      <c r="AE34">
        <v>109.7</v>
      </c>
      <c r="AF34">
        <v>116.3</v>
      </c>
      <c r="AG34">
        <v>1538.8</v>
      </c>
      <c r="AH34">
        <v>113.1</v>
      </c>
      <c r="AI34">
        <v>226.10000000000002</v>
      </c>
      <c r="AJ34">
        <v>551.6</v>
      </c>
      <c r="AK34">
        <v>109.3</v>
      </c>
      <c r="AL34">
        <v>109.5</v>
      </c>
      <c r="AM34">
        <v>108.6</v>
      </c>
      <c r="AN34">
        <v>111.2</v>
      </c>
    </row>
    <row r="35" spans="1:40" x14ac:dyDescent="0.25">
      <c r="A35" t="s">
        <v>30</v>
      </c>
      <c r="B35">
        <v>2013</v>
      </c>
      <c r="C35" t="s">
        <v>45</v>
      </c>
      <c r="D35" t="s">
        <v>111</v>
      </c>
      <c r="E35">
        <v>118.4</v>
      </c>
      <c r="F35">
        <v>115.9</v>
      </c>
      <c r="G35">
        <v>120.4</v>
      </c>
      <c r="H35">
        <v>113.8</v>
      </c>
      <c r="I35">
        <v>109.5</v>
      </c>
      <c r="J35">
        <v>115.5</v>
      </c>
      <c r="K35">
        <v>145.69999999999999</v>
      </c>
      <c r="L35">
        <v>109.5</v>
      </c>
      <c r="M35">
        <v>102.9</v>
      </c>
      <c r="N35">
        <v>109.8</v>
      </c>
      <c r="O35">
        <v>112.1</v>
      </c>
      <c r="P35">
        <v>116.8</v>
      </c>
      <c r="Q35">
        <v>118.7</v>
      </c>
      <c r="R35">
        <v>113.6</v>
      </c>
      <c r="S35">
        <v>115.8</v>
      </c>
      <c r="T35">
        <v>114</v>
      </c>
      <c r="U35">
        <v>115.5</v>
      </c>
      <c r="V35" t="s">
        <v>47</v>
      </c>
      <c r="W35">
        <v>110.7</v>
      </c>
      <c r="X35">
        <v>112.8</v>
      </c>
      <c r="Y35">
        <v>112.1</v>
      </c>
      <c r="Z35">
        <v>110.1</v>
      </c>
      <c r="AA35">
        <v>109.9</v>
      </c>
      <c r="AB35">
        <v>109.2</v>
      </c>
      <c r="AC35">
        <v>111.6</v>
      </c>
      <c r="AD35">
        <v>108.1</v>
      </c>
      <c r="AE35">
        <v>110.1</v>
      </c>
      <c r="AF35">
        <v>115.5</v>
      </c>
      <c r="AG35">
        <v>1509</v>
      </c>
      <c r="AH35">
        <v>113.6</v>
      </c>
      <c r="AI35">
        <v>229.8</v>
      </c>
      <c r="AJ35">
        <v>553.80000000000007</v>
      </c>
      <c r="AK35">
        <v>110.1</v>
      </c>
      <c r="AL35">
        <v>109.9</v>
      </c>
      <c r="AM35">
        <v>109.2</v>
      </c>
      <c r="AN35">
        <v>111.6</v>
      </c>
    </row>
    <row r="36" spans="1:40" x14ac:dyDescent="0.25">
      <c r="A36" t="s">
        <v>32</v>
      </c>
      <c r="B36">
        <v>2013</v>
      </c>
      <c r="C36" t="s">
        <v>45</v>
      </c>
      <c r="D36" t="s">
        <v>111</v>
      </c>
      <c r="E36">
        <v>120.5</v>
      </c>
      <c r="F36">
        <v>118.1</v>
      </c>
      <c r="G36">
        <v>128.5</v>
      </c>
      <c r="H36">
        <v>112.8</v>
      </c>
      <c r="I36">
        <v>103.4</v>
      </c>
      <c r="J36">
        <v>110.7</v>
      </c>
      <c r="K36">
        <v>144.80000000000001</v>
      </c>
      <c r="L36">
        <v>107.1</v>
      </c>
      <c r="M36">
        <v>98.6</v>
      </c>
      <c r="N36">
        <v>111.9</v>
      </c>
      <c r="O36">
        <v>112.1</v>
      </c>
      <c r="P36">
        <v>118.1</v>
      </c>
      <c r="Q36">
        <v>117.8</v>
      </c>
      <c r="R36">
        <v>115</v>
      </c>
      <c r="S36">
        <v>114.2</v>
      </c>
      <c r="T36">
        <v>110.9</v>
      </c>
      <c r="U36">
        <v>113.7</v>
      </c>
      <c r="V36">
        <v>110.7</v>
      </c>
      <c r="W36">
        <v>110.7</v>
      </c>
      <c r="X36">
        <v>110.4</v>
      </c>
      <c r="Y36">
        <v>111.3</v>
      </c>
      <c r="Z36">
        <v>109</v>
      </c>
      <c r="AA36">
        <v>109.7</v>
      </c>
      <c r="AB36">
        <v>108.9</v>
      </c>
      <c r="AC36">
        <v>111.4</v>
      </c>
      <c r="AD36">
        <v>107.7</v>
      </c>
      <c r="AE36">
        <v>109.8</v>
      </c>
      <c r="AF36">
        <v>113.3</v>
      </c>
      <c r="AG36">
        <v>1504.4</v>
      </c>
      <c r="AH36">
        <v>115</v>
      </c>
      <c r="AI36">
        <v>225.10000000000002</v>
      </c>
      <c r="AJ36">
        <v>549.9</v>
      </c>
      <c r="AK36">
        <v>109</v>
      </c>
      <c r="AL36">
        <v>109.7</v>
      </c>
      <c r="AM36">
        <v>108.9</v>
      </c>
      <c r="AN36">
        <v>111.4</v>
      </c>
    </row>
    <row r="37" spans="1:40" x14ac:dyDescent="0.25">
      <c r="A37" t="s">
        <v>33</v>
      </c>
      <c r="B37">
        <v>2013</v>
      </c>
      <c r="C37" t="s">
        <v>45</v>
      </c>
      <c r="D37" t="s">
        <v>111</v>
      </c>
      <c r="E37">
        <v>119.1</v>
      </c>
      <c r="F37">
        <v>116.7</v>
      </c>
      <c r="G37">
        <v>123.5</v>
      </c>
      <c r="H37">
        <v>113.4</v>
      </c>
      <c r="I37">
        <v>107.3</v>
      </c>
      <c r="J37">
        <v>113.3</v>
      </c>
      <c r="K37">
        <v>145.4</v>
      </c>
      <c r="L37">
        <v>108.7</v>
      </c>
      <c r="M37">
        <v>101.5</v>
      </c>
      <c r="N37">
        <v>110.5</v>
      </c>
      <c r="O37">
        <v>112.1</v>
      </c>
      <c r="P37">
        <v>117.4</v>
      </c>
      <c r="Q37">
        <v>118.4</v>
      </c>
      <c r="R37">
        <v>114</v>
      </c>
      <c r="S37">
        <v>115.2</v>
      </c>
      <c r="T37">
        <v>112.7</v>
      </c>
      <c r="U37">
        <v>114.8</v>
      </c>
      <c r="V37">
        <v>110.7</v>
      </c>
      <c r="W37">
        <v>110.7</v>
      </c>
      <c r="X37">
        <v>111.9</v>
      </c>
      <c r="Y37">
        <v>111.7</v>
      </c>
      <c r="Z37">
        <v>109.7</v>
      </c>
      <c r="AA37">
        <v>109.8</v>
      </c>
      <c r="AB37">
        <v>109</v>
      </c>
      <c r="AC37">
        <v>111.5</v>
      </c>
      <c r="AD37">
        <v>107.9</v>
      </c>
      <c r="AE37">
        <v>110</v>
      </c>
      <c r="AF37">
        <v>114.5</v>
      </c>
      <c r="AG37">
        <v>1507.3000000000002</v>
      </c>
      <c r="AH37">
        <v>114</v>
      </c>
      <c r="AI37">
        <v>227.9</v>
      </c>
      <c r="AJ37">
        <v>552.20000000000005</v>
      </c>
      <c r="AK37">
        <v>109.7</v>
      </c>
      <c r="AL37">
        <v>109.8</v>
      </c>
      <c r="AM37">
        <v>109</v>
      </c>
      <c r="AN37">
        <v>111.5</v>
      </c>
    </row>
    <row r="38" spans="1:40" x14ac:dyDescent="0.25">
      <c r="A38" t="s">
        <v>30</v>
      </c>
      <c r="B38">
        <v>2014</v>
      </c>
      <c r="C38" t="s">
        <v>31</v>
      </c>
      <c r="D38" t="s">
        <v>126</v>
      </c>
      <c r="E38">
        <v>118.9</v>
      </c>
      <c r="F38">
        <v>117.1</v>
      </c>
      <c r="G38">
        <v>120.5</v>
      </c>
      <c r="H38">
        <v>114.4</v>
      </c>
      <c r="I38">
        <v>109</v>
      </c>
      <c r="J38">
        <v>115.5</v>
      </c>
      <c r="K38">
        <v>123.9</v>
      </c>
      <c r="L38">
        <v>109.6</v>
      </c>
      <c r="M38">
        <v>101.8</v>
      </c>
      <c r="N38">
        <v>110.2</v>
      </c>
      <c r="O38">
        <v>112.4</v>
      </c>
      <c r="P38">
        <v>117.3</v>
      </c>
      <c r="Q38">
        <v>116</v>
      </c>
      <c r="R38">
        <v>114</v>
      </c>
      <c r="S38">
        <v>116.5</v>
      </c>
      <c r="T38">
        <v>114.5</v>
      </c>
      <c r="U38">
        <v>116.2</v>
      </c>
      <c r="V38" t="s">
        <v>47</v>
      </c>
      <c r="W38">
        <v>111.6</v>
      </c>
      <c r="X38">
        <v>113</v>
      </c>
      <c r="Y38">
        <v>112.6</v>
      </c>
      <c r="Z38">
        <v>110.6</v>
      </c>
      <c r="AA38">
        <v>110.5</v>
      </c>
      <c r="AB38">
        <v>109.6</v>
      </c>
      <c r="AC38">
        <v>111.8</v>
      </c>
      <c r="AD38">
        <v>108.3</v>
      </c>
      <c r="AE38">
        <v>110.6</v>
      </c>
      <c r="AF38">
        <v>114.2</v>
      </c>
      <c r="AG38">
        <v>1486.6000000000001</v>
      </c>
      <c r="AH38">
        <v>114</v>
      </c>
      <c r="AI38">
        <v>231</v>
      </c>
      <c r="AJ38">
        <v>556.1</v>
      </c>
      <c r="AK38">
        <v>110.6</v>
      </c>
      <c r="AL38">
        <v>110.5</v>
      </c>
      <c r="AM38">
        <v>109.6</v>
      </c>
      <c r="AN38">
        <v>111.8</v>
      </c>
    </row>
    <row r="39" spans="1:40" x14ac:dyDescent="0.25">
      <c r="A39" t="s">
        <v>32</v>
      </c>
      <c r="B39">
        <v>2014</v>
      </c>
      <c r="C39" t="s">
        <v>31</v>
      </c>
      <c r="D39" t="s">
        <v>126</v>
      </c>
      <c r="E39">
        <v>121.2</v>
      </c>
      <c r="F39">
        <v>122</v>
      </c>
      <c r="G39">
        <v>129.9</v>
      </c>
      <c r="H39">
        <v>113.6</v>
      </c>
      <c r="I39">
        <v>102.9</v>
      </c>
      <c r="J39">
        <v>112.1</v>
      </c>
      <c r="K39">
        <v>118.9</v>
      </c>
      <c r="L39">
        <v>107.5</v>
      </c>
      <c r="M39">
        <v>96.9</v>
      </c>
      <c r="N39">
        <v>112.7</v>
      </c>
      <c r="O39">
        <v>112.1</v>
      </c>
      <c r="P39">
        <v>119</v>
      </c>
      <c r="Q39">
        <v>115.5</v>
      </c>
      <c r="R39">
        <v>115.7</v>
      </c>
      <c r="S39">
        <v>114.8</v>
      </c>
      <c r="T39">
        <v>111.3</v>
      </c>
      <c r="U39">
        <v>114.3</v>
      </c>
      <c r="V39">
        <v>111.6</v>
      </c>
      <c r="W39">
        <v>111.6</v>
      </c>
      <c r="X39">
        <v>111</v>
      </c>
      <c r="Y39">
        <v>111.9</v>
      </c>
      <c r="Z39">
        <v>109.7</v>
      </c>
      <c r="AA39">
        <v>110.8</v>
      </c>
      <c r="AB39">
        <v>109.8</v>
      </c>
      <c r="AC39">
        <v>111.5</v>
      </c>
      <c r="AD39">
        <v>108</v>
      </c>
      <c r="AE39">
        <v>110.5</v>
      </c>
      <c r="AF39">
        <v>112.9</v>
      </c>
      <c r="AG39">
        <v>1484.3</v>
      </c>
      <c r="AH39">
        <v>115.7</v>
      </c>
      <c r="AI39">
        <v>226.1</v>
      </c>
      <c r="AJ39">
        <v>553</v>
      </c>
      <c r="AK39">
        <v>109.7</v>
      </c>
      <c r="AL39">
        <v>110.8</v>
      </c>
      <c r="AM39">
        <v>109.8</v>
      </c>
      <c r="AN39">
        <v>111.5</v>
      </c>
    </row>
    <row r="40" spans="1:40" x14ac:dyDescent="0.25">
      <c r="A40" t="s">
        <v>33</v>
      </c>
      <c r="B40">
        <v>2014</v>
      </c>
      <c r="C40" t="s">
        <v>31</v>
      </c>
      <c r="D40" t="s">
        <v>126</v>
      </c>
      <c r="E40">
        <v>119.6</v>
      </c>
      <c r="F40">
        <v>118.8</v>
      </c>
      <c r="G40">
        <v>124.1</v>
      </c>
      <c r="H40">
        <v>114.1</v>
      </c>
      <c r="I40">
        <v>106.8</v>
      </c>
      <c r="J40">
        <v>113.9</v>
      </c>
      <c r="K40">
        <v>122.2</v>
      </c>
      <c r="L40">
        <v>108.9</v>
      </c>
      <c r="M40">
        <v>100.2</v>
      </c>
      <c r="N40">
        <v>111</v>
      </c>
      <c r="O40">
        <v>112.3</v>
      </c>
      <c r="P40">
        <v>118.1</v>
      </c>
      <c r="Q40">
        <v>115.8</v>
      </c>
      <c r="R40">
        <v>114.5</v>
      </c>
      <c r="S40">
        <v>115.8</v>
      </c>
      <c r="T40">
        <v>113.2</v>
      </c>
      <c r="U40">
        <v>115.4</v>
      </c>
      <c r="V40">
        <v>111.6</v>
      </c>
      <c r="W40">
        <v>111.6</v>
      </c>
      <c r="X40">
        <v>112.2</v>
      </c>
      <c r="Y40">
        <v>112.3</v>
      </c>
      <c r="Z40">
        <v>110.3</v>
      </c>
      <c r="AA40">
        <v>110.7</v>
      </c>
      <c r="AB40">
        <v>109.7</v>
      </c>
      <c r="AC40">
        <v>111.6</v>
      </c>
      <c r="AD40">
        <v>108.2</v>
      </c>
      <c r="AE40">
        <v>110.6</v>
      </c>
      <c r="AF40">
        <v>113.6</v>
      </c>
      <c r="AG40">
        <v>1485.7999999999997</v>
      </c>
      <c r="AH40">
        <v>114.5</v>
      </c>
      <c r="AI40">
        <v>229</v>
      </c>
      <c r="AJ40">
        <v>554.9</v>
      </c>
      <c r="AK40">
        <v>110.3</v>
      </c>
      <c r="AL40">
        <v>110.7</v>
      </c>
      <c r="AM40">
        <v>109.7</v>
      </c>
      <c r="AN40">
        <v>111.6</v>
      </c>
    </row>
    <row r="41" spans="1:40" x14ac:dyDescent="0.25">
      <c r="A41" t="s">
        <v>30</v>
      </c>
      <c r="B41">
        <v>2014</v>
      </c>
      <c r="C41" t="s">
        <v>34</v>
      </c>
      <c r="D41" t="s">
        <v>125</v>
      </c>
      <c r="E41">
        <v>119.4</v>
      </c>
      <c r="F41">
        <v>117.7</v>
      </c>
      <c r="G41">
        <v>121.2</v>
      </c>
      <c r="H41">
        <v>115</v>
      </c>
      <c r="I41">
        <v>109</v>
      </c>
      <c r="J41">
        <v>116.6</v>
      </c>
      <c r="K41">
        <v>116</v>
      </c>
      <c r="L41">
        <v>109.8</v>
      </c>
      <c r="M41">
        <v>101.1</v>
      </c>
      <c r="N41">
        <v>110.4</v>
      </c>
      <c r="O41">
        <v>112.9</v>
      </c>
      <c r="P41">
        <v>117.8</v>
      </c>
      <c r="Q41">
        <v>115.3</v>
      </c>
      <c r="R41">
        <v>114.2</v>
      </c>
      <c r="S41">
        <v>117.1</v>
      </c>
      <c r="T41">
        <v>114.5</v>
      </c>
      <c r="U41">
        <v>116.7</v>
      </c>
      <c r="V41" t="s">
        <v>47</v>
      </c>
      <c r="W41">
        <v>112.5</v>
      </c>
      <c r="X41">
        <v>113.2</v>
      </c>
      <c r="Y41">
        <v>112.9</v>
      </c>
      <c r="Z41">
        <v>110.9</v>
      </c>
      <c r="AA41">
        <v>110.8</v>
      </c>
      <c r="AB41">
        <v>109.9</v>
      </c>
      <c r="AC41">
        <v>112</v>
      </c>
      <c r="AD41">
        <v>108.7</v>
      </c>
      <c r="AE41">
        <v>110.9</v>
      </c>
      <c r="AF41">
        <v>114</v>
      </c>
      <c r="AG41">
        <v>1482.2</v>
      </c>
      <c r="AH41">
        <v>114.2</v>
      </c>
      <c r="AI41">
        <v>231.6</v>
      </c>
      <c r="AJ41">
        <v>558.20000000000005</v>
      </c>
      <c r="AK41">
        <v>110.9</v>
      </c>
      <c r="AL41">
        <v>110.8</v>
      </c>
      <c r="AM41">
        <v>109.9</v>
      </c>
      <c r="AN41">
        <v>112</v>
      </c>
    </row>
    <row r="42" spans="1:40" x14ac:dyDescent="0.25">
      <c r="A42" t="s">
        <v>32</v>
      </c>
      <c r="B42">
        <v>2014</v>
      </c>
      <c r="C42" t="s">
        <v>34</v>
      </c>
      <c r="D42" t="s">
        <v>125</v>
      </c>
      <c r="E42">
        <v>121.9</v>
      </c>
      <c r="F42">
        <v>122</v>
      </c>
      <c r="G42">
        <v>124.5</v>
      </c>
      <c r="H42">
        <v>115.2</v>
      </c>
      <c r="I42">
        <v>102.5</v>
      </c>
      <c r="J42">
        <v>114.1</v>
      </c>
      <c r="K42">
        <v>111.5</v>
      </c>
      <c r="L42">
        <v>108.2</v>
      </c>
      <c r="M42">
        <v>95.4</v>
      </c>
      <c r="N42">
        <v>113.5</v>
      </c>
      <c r="O42">
        <v>112.1</v>
      </c>
      <c r="P42">
        <v>119.9</v>
      </c>
      <c r="Q42">
        <v>115.2</v>
      </c>
      <c r="R42">
        <v>116.2</v>
      </c>
      <c r="S42">
        <v>115.3</v>
      </c>
      <c r="T42">
        <v>111.7</v>
      </c>
      <c r="U42">
        <v>114.7</v>
      </c>
      <c r="V42">
        <v>112.5</v>
      </c>
      <c r="W42">
        <v>112.5</v>
      </c>
      <c r="X42">
        <v>111.1</v>
      </c>
      <c r="Y42">
        <v>112.6</v>
      </c>
      <c r="Z42">
        <v>110.4</v>
      </c>
      <c r="AA42">
        <v>111.3</v>
      </c>
      <c r="AB42">
        <v>110.3</v>
      </c>
      <c r="AC42">
        <v>111.6</v>
      </c>
      <c r="AD42">
        <v>108.7</v>
      </c>
      <c r="AE42">
        <v>111</v>
      </c>
      <c r="AF42">
        <v>113.1</v>
      </c>
      <c r="AG42">
        <v>1476</v>
      </c>
      <c r="AH42">
        <v>116.2</v>
      </c>
      <c r="AI42">
        <v>227</v>
      </c>
      <c r="AJ42">
        <v>555.9</v>
      </c>
      <c r="AK42">
        <v>110.4</v>
      </c>
      <c r="AL42">
        <v>111.3</v>
      </c>
      <c r="AM42">
        <v>110.3</v>
      </c>
      <c r="AN42">
        <v>111.6</v>
      </c>
    </row>
    <row r="43" spans="1:40" x14ac:dyDescent="0.25">
      <c r="A43" t="s">
        <v>33</v>
      </c>
      <c r="B43">
        <v>2014</v>
      </c>
      <c r="C43" t="s">
        <v>34</v>
      </c>
      <c r="D43" t="s">
        <v>125</v>
      </c>
      <c r="E43">
        <v>120.2</v>
      </c>
      <c r="F43">
        <v>119.2</v>
      </c>
      <c r="G43">
        <v>122.5</v>
      </c>
      <c r="H43">
        <v>115.1</v>
      </c>
      <c r="I43">
        <v>106.6</v>
      </c>
      <c r="J43">
        <v>115.4</v>
      </c>
      <c r="K43">
        <v>114.5</v>
      </c>
      <c r="L43">
        <v>109.3</v>
      </c>
      <c r="M43">
        <v>99.2</v>
      </c>
      <c r="N43">
        <v>111.4</v>
      </c>
      <c r="O43">
        <v>112.6</v>
      </c>
      <c r="P43">
        <v>118.8</v>
      </c>
      <c r="Q43">
        <v>115.3</v>
      </c>
      <c r="R43">
        <v>114.7</v>
      </c>
      <c r="S43">
        <v>116.4</v>
      </c>
      <c r="T43">
        <v>113.3</v>
      </c>
      <c r="U43">
        <v>115.9</v>
      </c>
      <c r="V43">
        <v>112.5</v>
      </c>
      <c r="W43">
        <v>112.5</v>
      </c>
      <c r="X43">
        <v>112.4</v>
      </c>
      <c r="Y43">
        <v>112.8</v>
      </c>
      <c r="Z43">
        <v>110.7</v>
      </c>
      <c r="AA43">
        <v>111.1</v>
      </c>
      <c r="AB43">
        <v>110.1</v>
      </c>
      <c r="AC43">
        <v>111.8</v>
      </c>
      <c r="AD43">
        <v>108.7</v>
      </c>
      <c r="AE43">
        <v>110.9</v>
      </c>
      <c r="AF43">
        <v>113.6</v>
      </c>
      <c r="AG43">
        <v>1480.1</v>
      </c>
      <c r="AH43">
        <v>114.7</v>
      </c>
      <c r="AI43">
        <v>229.7</v>
      </c>
      <c r="AJ43">
        <v>557.29999999999995</v>
      </c>
      <c r="AK43">
        <v>110.7</v>
      </c>
      <c r="AL43">
        <v>111.1</v>
      </c>
      <c r="AM43">
        <v>110.1</v>
      </c>
      <c r="AN43">
        <v>111.8</v>
      </c>
    </row>
    <row r="44" spans="1:40" x14ac:dyDescent="0.25">
      <c r="A44" t="s">
        <v>30</v>
      </c>
      <c r="B44">
        <v>2014</v>
      </c>
      <c r="C44" t="s">
        <v>35</v>
      </c>
      <c r="D44" t="s">
        <v>129</v>
      </c>
      <c r="E44">
        <v>120.1</v>
      </c>
      <c r="F44">
        <v>118.1</v>
      </c>
      <c r="G44">
        <v>120.7</v>
      </c>
      <c r="H44">
        <v>116.1</v>
      </c>
      <c r="I44">
        <v>109.3</v>
      </c>
      <c r="J44">
        <v>119.6</v>
      </c>
      <c r="K44">
        <v>117.9</v>
      </c>
      <c r="L44">
        <v>110.2</v>
      </c>
      <c r="M44">
        <v>101.2</v>
      </c>
      <c r="N44">
        <v>110.7</v>
      </c>
      <c r="O44">
        <v>113</v>
      </c>
      <c r="P44">
        <v>118.3</v>
      </c>
      <c r="Q44">
        <v>116.2</v>
      </c>
      <c r="R44">
        <v>114.6</v>
      </c>
      <c r="S44">
        <v>117.5</v>
      </c>
      <c r="T44">
        <v>114.9</v>
      </c>
      <c r="U44">
        <v>117.2</v>
      </c>
      <c r="V44" t="s">
        <v>47</v>
      </c>
      <c r="W44">
        <v>113.2</v>
      </c>
      <c r="X44">
        <v>113.4</v>
      </c>
      <c r="Y44">
        <v>113.4</v>
      </c>
      <c r="Z44">
        <v>111.4</v>
      </c>
      <c r="AA44">
        <v>111.2</v>
      </c>
      <c r="AB44">
        <v>110.2</v>
      </c>
      <c r="AC44">
        <v>112.4</v>
      </c>
      <c r="AD44">
        <v>108.9</v>
      </c>
      <c r="AE44">
        <v>111.3</v>
      </c>
      <c r="AF44">
        <v>114.6</v>
      </c>
      <c r="AG44">
        <v>1491.4</v>
      </c>
      <c r="AH44">
        <v>114.6</v>
      </c>
      <c r="AI44">
        <v>232.4</v>
      </c>
      <c r="AJ44">
        <v>560.19999999999993</v>
      </c>
      <c r="AK44">
        <v>111.4</v>
      </c>
      <c r="AL44">
        <v>111.2</v>
      </c>
      <c r="AM44">
        <v>110.2</v>
      </c>
      <c r="AN44">
        <v>112.4</v>
      </c>
    </row>
    <row r="45" spans="1:40" x14ac:dyDescent="0.25">
      <c r="A45" t="s">
        <v>32</v>
      </c>
      <c r="B45">
        <v>2014</v>
      </c>
      <c r="C45" t="s">
        <v>35</v>
      </c>
      <c r="D45" t="s">
        <v>129</v>
      </c>
      <c r="E45">
        <v>122.1</v>
      </c>
      <c r="F45">
        <v>121.4</v>
      </c>
      <c r="G45">
        <v>121.5</v>
      </c>
      <c r="H45">
        <v>116.2</v>
      </c>
      <c r="I45">
        <v>102.8</v>
      </c>
      <c r="J45">
        <v>117.7</v>
      </c>
      <c r="K45">
        <v>113.3</v>
      </c>
      <c r="L45">
        <v>108.9</v>
      </c>
      <c r="M45">
        <v>96.3</v>
      </c>
      <c r="N45">
        <v>114.1</v>
      </c>
      <c r="O45">
        <v>112.2</v>
      </c>
      <c r="P45">
        <v>120.5</v>
      </c>
      <c r="Q45">
        <v>116</v>
      </c>
      <c r="R45">
        <v>116.7</v>
      </c>
      <c r="S45">
        <v>115.8</v>
      </c>
      <c r="T45">
        <v>112.1</v>
      </c>
      <c r="U45">
        <v>115.2</v>
      </c>
      <c r="V45">
        <v>113.2</v>
      </c>
      <c r="W45">
        <v>113.2</v>
      </c>
      <c r="X45">
        <v>110.9</v>
      </c>
      <c r="Y45">
        <v>113</v>
      </c>
      <c r="Z45">
        <v>110.8</v>
      </c>
      <c r="AA45">
        <v>111.6</v>
      </c>
      <c r="AB45">
        <v>110.9</v>
      </c>
      <c r="AC45">
        <v>111.8</v>
      </c>
      <c r="AD45">
        <v>109.2</v>
      </c>
      <c r="AE45">
        <v>111.4</v>
      </c>
      <c r="AF45">
        <v>113.7</v>
      </c>
      <c r="AG45">
        <v>1483</v>
      </c>
      <c r="AH45">
        <v>116.7</v>
      </c>
      <c r="AI45">
        <v>227.89999999999998</v>
      </c>
      <c r="AJ45">
        <v>557.70000000000005</v>
      </c>
      <c r="AK45">
        <v>110.8</v>
      </c>
      <c r="AL45">
        <v>111.6</v>
      </c>
      <c r="AM45">
        <v>110.9</v>
      </c>
      <c r="AN45">
        <v>111.8</v>
      </c>
    </row>
    <row r="46" spans="1:40" x14ac:dyDescent="0.25">
      <c r="A46" t="s">
        <v>33</v>
      </c>
      <c r="B46">
        <v>2014</v>
      </c>
      <c r="C46" t="s">
        <v>46</v>
      </c>
      <c r="D46" t="s">
        <v>130</v>
      </c>
      <c r="E46">
        <v>120.7</v>
      </c>
      <c r="F46">
        <v>119.3</v>
      </c>
      <c r="G46">
        <v>121</v>
      </c>
      <c r="H46">
        <v>116.1</v>
      </c>
      <c r="I46">
        <v>106.9</v>
      </c>
      <c r="J46">
        <v>118.7</v>
      </c>
      <c r="K46">
        <v>116.3</v>
      </c>
      <c r="L46">
        <v>109.8</v>
      </c>
      <c r="M46">
        <v>99.6</v>
      </c>
      <c r="N46">
        <v>111.8</v>
      </c>
      <c r="O46">
        <v>112.7</v>
      </c>
      <c r="P46">
        <v>119.3</v>
      </c>
      <c r="Q46">
        <v>116.1</v>
      </c>
      <c r="R46">
        <v>115.2</v>
      </c>
      <c r="S46">
        <v>116.8</v>
      </c>
      <c r="T46">
        <v>113.7</v>
      </c>
      <c r="U46">
        <v>116.4</v>
      </c>
      <c r="V46">
        <v>113.2</v>
      </c>
      <c r="W46">
        <v>113.2</v>
      </c>
      <c r="X46">
        <v>112.5</v>
      </c>
      <c r="Y46">
        <v>113.2</v>
      </c>
      <c r="Z46">
        <v>111.2</v>
      </c>
      <c r="AA46">
        <v>111.4</v>
      </c>
      <c r="AB46">
        <v>110.6</v>
      </c>
      <c r="AC46">
        <v>112</v>
      </c>
      <c r="AD46">
        <v>109</v>
      </c>
      <c r="AE46">
        <v>111.3</v>
      </c>
      <c r="AF46">
        <v>114.2</v>
      </c>
      <c r="AG46">
        <v>1488.2999999999997</v>
      </c>
      <c r="AH46">
        <v>115.2</v>
      </c>
      <c r="AI46">
        <v>230.5</v>
      </c>
      <c r="AJ46">
        <v>559.19999999999993</v>
      </c>
      <c r="AK46">
        <v>111.2</v>
      </c>
      <c r="AL46">
        <v>111.4</v>
      </c>
      <c r="AM46">
        <v>110.6</v>
      </c>
      <c r="AN46">
        <v>112</v>
      </c>
    </row>
    <row r="47" spans="1:40" x14ac:dyDescent="0.25">
      <c r="A47" t="s">
        <v>30</v>
      </c>
      <c r="B47">
        <v>2014</v>
      </c>
      <c r="C47" t="s">
        <v>36</v>
      </c>
      <c r="D47" t="s">
        <v>122</v>
      </c>
      <c r="E47">
        <v>120.2</v>
      </c>
      <c r="F47">
        <v>118.9</v>
      </c>
      <c r="G47">
        <v>118.1</v>
      </c>
      <c r="H47">
        <v>117</v>
      </c>
      <c r="I47">
        <v>109.7</v>
      </c>
      <c r="J47">
        <v>125.5</v>
      </c>
      <c r="K47">
        <v>120.5</v>
      </c>
      <c r="L47">
        <v>111</v>
      </c>
      <c r="M47">
        <v>102.6</v>
      </c>
      <c r="N47">
        <v>111.2</v>
      </c>
      <c r="O47">
        <v>113.5</v>
      </c>
      <c r="P47">
        <v>118.7</v>
      </c>
      <c r="Q47">
        <v>117.2</v>
      </c>
      <c r="R47">
        <v>115.4</v>
      </c>
      <c r="S47">
        <v>118.1</v>
      </c>
      <c r="T47">
        <v>116.1</v>
      </c>
      <c r="U47">
        <v>117.8</v>
      </c>
      <c r="V47" t="s">
        <v>47</v>
      </c>
      <c r="W47">
        <v>113.9</v>
      </c>
      <c r="X47">
        <v>113.4</v>
      </c>
      <c r="Y47">
        <v>113.7</v>
      </c>
      <c r="Z47">
        <v>111.8</v>
      </c>
      <c r="AA47">
        <v>111.2</v>
      </c>
      <c r="AB47">
        <v>110.5</v>
      </c>
      <c r="AC47">
        <v>113</v>
      </c>
      <c r="AD47">
        <v>108.9</v>
      </c>
      <c r="AE47">
        <v>111.5</v>
      </c>
      <c r="AF47">
        <v>115.4</v>
      </c>
      <c r="AG47">
        <v>1504.1000000000001</v>
      </c>
      <c r="AH47">
        <v>115.4</v>
      </c>
      <c r="AI47">
        <v>234.2</v>
      </c>
      <c r="AJ47">
        <v>561.4</v>
      </c>
      <c r="AK47">
        <v>111.8</v>
      </c>
      <c r="AL47">
        <v>111.2</v>
      </c>
      <c r="AM47">
        <v>110.5</v>
      </c>
      <c r="AN47">
        <v>113</v>
      </c>
    </row>
    <row r="48" spans="1:40" x14ac:dyDescent="0.25">
      <c r="A48" t="s">
        <v>32</v>
      </c>
      <c r="B48">
        <v>2014</v>
      </c>
      <c r="C48" t="s">
        <v>36</v>
      </c>
      <c r="D48" t="s">
        <v>122</v>
      </c>
      <c r="E48">
        <v>122.5</v>
      </c>
      <c r="F48">
        <v>121.7</v>
      </c>
      <c r="G48">
        <v>113.3</v>
      </c>
      <c r="H48">
        <v>117</v>
      </c>
      <c r="I48">
        <v>103.1</v>
      </c>
      <c r="J48">
        <v>126.7</v>
      </c>
      <c r="K48">
        <v>121.2</v>
      </c>
      <c r="L48">
        <v>111</v>
      </c>
      <c r="M48">
        <v>100.3</v>
      </c>
      <c r="N48">
        <v>115.3</v>
      </c>
      <c r="O48">
        <v>112.7</v>
      </c>
      <c r="P48">
        <v>121</v>
      </c>
      <c r="Q48">
        <v>118.2</v>
      </c>
      <c r="R48">
        <v>117.6</v>
      </c>
      <c r="S48">
        <v>116.3</v>
      </c>
      <c r="T48">
        <v>112.5</v>
      </c>
      <c r="U48">
        <v>115.7</v>
      </c>
      <c r="V48">
        <v>113.9</v>
      </c>
      <c r="W48">
        <v>113.9</v>
      </c>
      <c r="X48">
        <v>110.9</v>
      </c>
      <c r="Y48">
        <v>113.4</v>
      </c>
      <c r="Z48">
        <v>111</v>
      </c>
      <c r="AA48">
        <v>111.2</v>
      </c>
      <c r="AB48">
        <v>111.2</v>
      </c>
      <c r="AC48">
        <v>112.5</v>
      </c>
      <c r="AD48">
        <v>109.1</v>
      </c>
      <c r="AE48">
        <v>111.4</v>
      </c>
      <c r="AF48">
        <v>114.7</v>
      </c>
      <c r="AG48">
        <v>1504.0000000000002</v>
      </c>
      <c r="AH48">
        <v>117.6</v>
      </c>
      <c r="AI48">
        <v>228.8</v>
      </c>
      <c r="AJ48">
        <v>558.70000000000005</v>
      </c>
      <c r="AK48">
        <v>111</v>
      </c>
      <c r="AL48">
        <v>111.2</v>
      </c>
      <c r="AM48">
        <v>111.2</v>
      </c>
      <c r="AN48">
        <v>112.5</v>
      </c>
    </row>
    <row r="49" spans="1:40" x14ac:dyDescent="0.25">
      <c r="A49" t="s">
        <v>33</v>
      </c>
      <c r="B49">
        <v>2014</v>
      </c>
      <c r="C49" t="s">
        <v>36</v>
      </c>
      <c r="D49" t="s">
        <v>122</v>
      </c>
      <c r="E49">
        <v>120.9</v>
      </c>
      <c r="F49">
        <v>119.9</v>
      </c>
      <c r="G49">
        <v>116.2</v>
      </c>
      <c r="H49">
        <v>117</v>
      </c>
      <c r="I49">
        <v>107.3</v>
      </c>
      <c r="J49">
        <v>126.1</v>
      </c>
      <c r="K49">
        <v>120.7</v>
      </c>
      <c r="L49">
        <v>111</v>
      </c>
      <c r="M49">
        <v>101.8</v>
      </c>
      <c r="N49">
        <v>112.6</v>
      </c>
      <c r="O49">
        <v>113.2</v>
      </c>
      <c r="P49">
        <v>119.8</v>
      </c>
      <c r="Q49">
        <v>117.6</v>
      </c>
      <c r="R49">
        <v>116</v>
      </c>
      <c r="S49">
        <v>117.4</v>
      </c>
      <c r="T49">
        <v>114.6</v>
      </c>
      <c r="U49">
        <v>117</v>
      </c>
      <c r="V49">
        <v>113.9</v>
      </c>
      <c r="W49">
        <v>113.9</v>
      </c>
      <c r="X49">
        <v>112.5</v>
      </c>
      <c r="Y49">
        <v>113.6</v>
      </c>
      <c r="Z49">
        <v>111.5</v>
      </c>
      <c r="AA49">
        <v>111.2</v>
      </c>
      <c r="AB49">
        <v>110.9</v>
      </c>
      <c r="AC49">
        <v>112.7</v>
      </c>
      <c r="AD49">
        <v>109</v>
      </c>
      <c r="AE49">
        <v>111.5</v>
      </c>
      <c r="AF49">
        <v>115.1</v>
      </c>
      <c r="AG49">
        <v>1504.1</v>
      </c>
      <c r="AH49">
        <v>116</v>
      </c>
      <c r="AI49">
        <v>232</v>
      </c>
      <c r="AJ49">
        <v>560.5</v>
      </c>
      <c r="AK49">
        <v>111.5</v>
      </c>
      <c r="AL49">
        <v>111.2</v>
      </c>
      <c r="AM49">
        <v>110.9</v>
      </c>
      <c r="AN49">
        <v>112.7</v>
      </c>
    </row>
    <row r="50" spans="1:40" x14ac:dyDescent="0.25">
      <c r="A50" t="s">
        <v>30</v>
      </c>
      <c r="B50">
        <v>2014</v>
      </c>
      <c r="C50" t="s">
        <v>37</v>
      </c>
      <c r="D50" t="s">
        <v>131</v>
      </c>
      <c r="E50">
        <v>120.3</v>
      </c>
      <c r="F50">
        <v>120.2</v>
      </c>
      <c r="G50">
        <v>116.9</v>
      </c>
      <c r="H50">
        <v>118</v>
      </c>
      <c r="I50">
        <v>110.1</v>
      </c>
      <c r="J50">
        <v>126.3</v>
      </c>
      <c r="K50">
        <v>123.9</v>
      </c>
      <c r="L50">
        <v>111.5</v>
      </c>
      <c r="M50">
        <v>103.5</v>
      </c>
      <c r="N50">
        <v>111.6</v>
      </c>
      <c r="O50">
        <v>114.2</v>
      </c>
      <c r="P50">
        <v>119.2</v>
      </c>
      <c r="Q50">
        <v>118.2</v>
      </c>
      <c r="R50">
        <v>116.3</v>
      </c>
      <c r="S50">
        <v>118.7</v>
      </c>
      <c r="T50">
        <v>116.8</v>
      </c>
      <c r="U50">
        <v>118.5</v>
      </c>
      <c r="V50" t="s">
        <v>47</v>
      </c>
      <c r="W50">
        <v>114.3</v>
      </c>
      <c r="X50">
        <v>113.4</v>
      </c>
      <c r="Y50">
        <v>114.1</v>
      </c>
      <c r="Z50">
        <v>112.1</v>
      </c>
      <c r="AA50">
        <v>111.4</v>
      </c>
      <c r="AB50">
        <v>110.9</v>
      </c>
      <c r="AC50">
        <v>113.1</v>
      </c>
      <c r="AD50">
        <v>108.9</v>
      </c>
      <c r="AE50">
        <v>111.8</v>
      </c>
      <c r="AF50">
        <v>116</v>
      </c>
      <c r="AG50">
        <v>1513.8999999999999</v>
      </c>
      <c r="AH50">
        <v>116.3</v>
      </c>
      <c r="AI50">
        <v>235.5</v>
      </c>
      <c r="AJ50">
        <v>562.49999999999989</v>
      </c>
      <c r="AK50">
        <v>112.1</v>
      </c>
      <c r="AL50">
        <v>111.4</v>
      </c>
      <c r="AM50">
        <v>110.9</v>
      </c>
      <c r="AN50">
        <v>113.1</v>
      </c>
    </row>
    <row r="51" spans="1:40" x14ac:dyDescent="0.25">
      <c r="A51" t="s">
        <v>32</v>
      </c>
      <c r="B51">
        <v>2014</v>
      </c>
      <c r="C51" t="s">
        <v>37</v>
      </c>
      <c r="D51" t="s">
        <v>131</v>
      </c>
      <c r="E51">
        <v>122.7</v>
      </c>
      <c r="F51">
        <v>124.1</v>
      </c>
      <c r="G51">
        <v>114.2</v>
      </c>
      <c r="H51">
        <v>119.1</v>
      </c>
      <c r="I51">
        <v>103.5</v>
      </c>
      <c r="J51">
        <v>129.19999999999999</v>
      </c>
      <c r="K51">
        <v>127</v>
      </c>
      <c r="L51">
        <v>112.6</v>
      </c>
      <c r="M51">
        <v>101.3</v>
      </c>
      <c r="N51">
        <v>117</v>
      </c>
      <c r="O51">
        <v>112.9</v>
      </c>
      <c r="P51">
        <v>121.7</v>
      </c>
      <c r="Q51">
        <v>120</v>
      </c>
      <c r="R51">
        <v>118.3</v>
      </c>
      <c r="S51">
        <v>116.8</v>
      </c>
      <c r="T51">
        <v>112.9</v>
      </c>
      <c r="U51">
        <v>116.2</v>
      </c>
      <c r="V51">
        <v>114.3</v>
      </c>
      <c r="W51">
        <v>114.3</v>
      </c>
      <c r="X51">
        <v>111.1</v>
      </c>
      <c r="Y51">
        <v>114.1</v>
      </c>
      <c r="Z51">
        <v>111.2</v>
      </c>
      <c r="AA51">
        <v>111.3</v>
      </c>
      <c r="AB51">
        <v>111.5</v>
      </c>
      <c r="AC51">
        <v>112.9</v>
      </c>
      <c r="AD51">
        <v>109.3</v>
      </c>
      <c r="AE51">
        <v>111.7</v>
      </c>
      <c r="AF51">
        <v>115.6</v>
      </c>
      <c r="AG51">
        <v>1525.3000000000002</v>
      </c>
      <c r="AH51">
        <v>118.3</v>
      </c>
      <c r="AI51">
        <v>229.7</v>
      </c>
      <c r="AJ51">
        <v>560.5</v>
      </c>
      <c r="AK51">
        <v>111.2</v>
      </c>
      <c r="AL51">
        <v>111.3</v>
      </c>
      <c r="AM51">
        <v>111.5</v>
      </c>
      <c r="AN51">
        <v>112.9</v>
      </c>
    </row>
    <row r="52" spans="1:40" x14ac:dyDescent="0.25">
      <c r="A52" t="s">
        <v>33</v>
      </c>
      <c r="B52">
        <v>2014</v>
      </c>
      <c r="C52" t="s">
        <v>37</v>
      </c>
      <c r="D52" t="s">
        <v>131</v>
      </c>
      <c r="E52">
        <v>121.1</v>
      </c>
      <c r="F52">
        <v>121.6</v>
      </c>
      <c r="G52">
        <v>115.9</v>
      </c>
      <c r="H52">
        <v>118.4</v>
      </c>
      <c r="I52">
        <v>107.7</v>
      </c>
      <c r="J52">
        <v>127.7</v>
      </c>
      <c r="K52">
        <v>125</v>
      </c>
      <c r="L52">
        <v>111.9</v>
      </c>
      <c r="M52">
        <v>102.8</v>
      </c>
      <c r="N52">
        <v>113.4</v>
      </c>
      <c r="O52">
        <v>113.7</v>
      </c>
      <c r="P52">
        <v>120.4</v>
      </c>
      <c r="Q52">
        <v>118.9</v>
      </c>
      <c r="R52">
        <v>116.8</v>
      </c>
      <c r="S52">
        <v>118</v>
      </c>
      <c r="T52">
        <v>115.2</v>
      </c>
      <c r="U52">
        <v>117.6</v>
      </c>
      <c r="V52">
        <v>114.3</v>
      </c>
      <c r="W52">
        <v>114.3</v>
      </c>
      <c r="X52">
        <v>112.5</v>
      </c>
      <c r="Y52">
        <v>114.1</v>
      </c>
      <c r="Z52">
        <v>111.8</v>
      </c>
      <c r="AA52">
        <v>111.3</v>
      </c>
      <c r="AB52">
        <v>111.2</v>
      </c>
      <c r="AC52">
        <v>113</v>
      </c>
      <c r="AD52">
        <v>109.1</v>
      </c>
      <c r="AE52">
        <v>111.8</v>
      </c>
      <c r="AF52">
        <v>115.8</v>
      </c>
      <c r="AG52">
        <v>1518.5000000000005</v>
      </c>
      <c r="AH52">
        <v>116.8</v>
      </c>
      <c r="AI52">
        <v>233.2</v>
      </c>
      <c r="AJ52">
        <v>561.79999999999995</v>
      </c>
      <c r="AK52">
        <v>111.8</v>
      </c>
      <c r="AL52">
        <v>111.3</v>
      </c>
      <c r="AM52">
        <v>111.2</v>
      </c>
      <c r="AN52">
        <v>113</v>
      </c>
    </row>
    <row r="53" spans="1:40" x14ac:dyDescent="0.25">
      <c r="A53" t="s">
        <v>30</v>
      </c>
      <c r="B53">
        <v>2014</v>
      </c>
      <c r="C53" t="s">
        <v>38</v>
      </c>
      <c r="D53" t="s">
        <v>128</v>
      </c>
      <c r="E53">
        <v>120.7</v>
      </c>
      <c r="F53">
        <v>121.6</v>
      </c>
      <c r="G53">
        <v>116.1</v>
      </c>
      <c r="H53">
        <v>119.3</v>
      </c>
      <c r="I53">
        <v>110.3</v>
      </c>
      <c r="J53">
        <v>125.8</v>
      </c>
      <c r="K53">
        <v>129.30000000000001</v>
      </c>
      <c r="L53">
        <v>112.2</v>
      </c>
      <c r="M53">
        <v>103.6</v>
      </c>
      <c r="N53">
        <v>112.3</v>
      </c>
      <c r="O53">
        <v>114.9</v>
      </c>
      <c r="P53">
        <v>120.1</v>
      </c>
      <c r="Q53">
        <v>119.5</v>
      </c>
      <c r="R53">
        <v>117.3</v>
      </c>
      <c r="S53">
        <v>119.7</v>
      </c>
      <c r="T53">
        <v>117.3</v>
      </c>
      <c r="U53">
        <v>119.3</v>
      </c>
      <c r="V53" t="s">
        <v>47</v>
      </c>
      <c r="W53">
        <v>113.9</v>
      </c>
      <c r="X53">
        <v>114.4</v>
      </c>
      <c r="Y53">
        <v>114.9</v>
      </c>
      <c r="Z53">
        <v>112.8</v>
      </c>
      <c r="AA53">
        <v>112.2</v>
      </c>
      <c r="AB53">
        <v>111.4</v>
      </c>
      <c r="AC53">
        <v>114.3</v>
      </c>
      <c r="AD53">
        <v>108</v>
      </c>
      <c r="AE53">
        <v>112.3</v>
      </c>
      <c r="AF53">
        <v>117</v>
      </c>
      <c r="AG53">
        <v>1525.6999999999998</v>
      </c>
      <c r="AH53">
        <v>117.3</v>
      </c>
      <c r="AI53">
        <v>237</v>
      </c>
      <c r="AJ53">
        <v>563.5</v>
      </c>
      <c r="AK53">
        <v>112.8</v>
      </c>
      <c r="AL53">
        <v>112.2</v>
      </c>
      <c r="AM53">
        <v>111.4</v>
      </c>
      <c r="AN53">
        <v>114.3</v>
      </c>
    </row>
    <row r="54" spans="1:40" x14ac:dyDescent="0.25">
      <c r="A54" t="s">
        <v>32</v>
      </c>
      <c r="B54">
        <v>2014</v>
      </c>
      <c r="C54" t="s">
        <v>38</v>
      </c>
      <c r="D54" t="s">
        <v>128</v>
      </c>
      <c r="E54">
        <v>123.1</v>
      </c>
      <c r="F54">
        <v>125.9</v>
      </c>
      <c r="G54">
        <v>115.4</v>
      </c>
      <c r="H54">
        <v>120.4</v>
      </c>
      <c r="I54">
        <v>103.4</v>
      </c>
      <c r="J54">
        <v>131.19999999999999</v>
      </c>
      <c r="K54">
        <v>137.5</v>
      </c>
      <c r="L54">
        <v>112.8</v>
      </c>
      <c r="M54">
        <v>101.4</v>
      </c>
      <c r="N54">
        <v>118.3</v>
      </c>
      <c r="O54">
        <v>113.2</v>
      </c>
      <c r="P54">
        <v>122.4</v>
      </c>
      <c r="Q54">
        <v>122</v>
      </c>
      <c r="R54">
        <v>119</v>
      </c>
      <c r="S54">
        <v>117.4</v>
      </c>
      <c r="T54">
        <v>113.2</v>
      </c>
      <c r="U54">
        <v>116.7</v>
      </c>
      <c r="V54">
        <v>113.9</v>
      </c>
      <c r="W54">
        <v>113.9</v>
      </c>
      <c r="X54">
        <v>111.2</v>
      </c>
      <c r="Y54">
        <v>114.3</v>
      </c>
      <c r="Z54">
        <v>111.4</v>
      </c>
      <c r="AA54">
        <v>111.5</v>
      </c>
      <c r="AB54">
        <v>111.8</v>
      </c>
      <c r="AC54">
        <v>115.1</v>
      </c>
      <c r="AD54">
        <v>108.7</v>
      </c>
      <c r="AE54">
        <v>112.2</v>
      </c>
      <c r="AF54">
        <v>116.4</v>
      </c>
      <c r="AG54">
        <v>1547</v>
      </c>
      <c r="AH54">
        <v>119</v>
      </c>
      <c r="AI54">
        <v>230.60000000000002</v>
      </c>
      <c r="AJ54">
        <v>560.30000000000007</v>
      </c>
      <c r="AK54">
        <v>111.4</v>
      </c>
      <c r="AL54">
        <v>111.5</v>
      </c>
      <c r="AM54">
        <v>111.8</v>
      </c>
      <c r="AN54">
        <v>115.1</v>
      </c>
    </row>
    <row r="55" spans="1:40" x14ac:dyDescent="0.25">
      <c r="A55" t="s">
        <v>33</v>
      </c>
      <c r="B55">
        <v>2014</v>
      </c>
      <c r="C55" t="s">
        <v>38</v>
      </c>
      <c r="D55" t="s">
        <v>128</v>
      </c>
      <c r="E55">
        <v>121.5</v>
      </c>
      <c r="F55">
        <v>123.1</v>
      </c>
      <c r="G55">
        <v>115.8</v>
      </c>
      <c r="H55">
        <v>119.7</v>
      </c>
      <c r="I55">
        <v>107.8</v>
      </c>
      <c r="J55">
        <v>128.30000000000001</v>
      </c>
      <c r="K55">
        <v>132.1</v>
      </c>
      <c r="L55">
        <v>112.4</v>
      </c>
      <c r="M55">
        <v>102.9</v>
      </c>
      <c r="N55">
        <v>114.3</v>
      </c>
      <c r="O55">
        <v>114.2</v>
      </c>
      <c r="P55">
        <v>121.2</v>
      </c>
      <c r="Q55">
        <v>120.4</v>
      </c>
      <c r="R55">
        <v>117.8</v>
      </c>
      <c r="S55">
        <v>118.8</v>
      </c>
      <c r="T55">
        <v>115.6</v>
      </c>
      <c r="U55">
        <v>118.3</v>
      </c>
      <c r="V55">
        <v>113.9</v>
      </c>
      <c r="W55">
        <v>113.9</v>
      </c>
      <c r="X55">
        <v>113.2</v>
      </c>
      <c r="Y55">
        <v>114.6</v>
      </c>
      <c r="Z55">
        <v>112.3</v>
      </c>
      <c r="AA55">
        <v>111.8</v>
      </c>
      <c r="AB55">
        <v>111.6</v>
      </c>
      <c r="AC55">
        <v>114.8</v>
      </c>
      <c r="AD55">
        <v>108.3</v>
      </c>
      <c r="AE55">
        <v>112.3</v>
      </c>
      <c r="AF55">
        <v>116.7</v>
      </c>
      <c r="AG55">
        <v>1533.7000000000003</v>
      </c>
      <c r="AH55">
        <v>117.8</v>
      </c>
      <c r="AI55">
        <v>234.39999999999998</v>
      </c>
      <c r="AJ55">
        <v>562.30000000000007</v>
      </c>
      <c r="AK55">
        <v>112.3</v>
      </c>
      <c r="AL55">
        <v>111.8</v>
      </c>
      <c r="AM55">
        <v>111.6</v>
      </c>
      <c r="AN55">
        <v>114.8</v>
      </c>
    </row>
    <row r="56" spans="1:40" x14ac:dyDescent="0.25">
      <c r="A56" t="s">
        <v>30</v>
      </c>
      <c r="B56">
        <v>2014</v>
      </c>
      <c r="C56" t="s">
        <v>39</v>
      </c>
      <c r="D56" t="s">
        <v>127</v>
      </c>
      <c r="E56">
        <v>121.7</v>
      </c>
      <c r="F56">
        <v>122.5</v>
      </c>
      <c r="G56">
        <v>117.7</v>
      </c>
      <c r="H56">
        <v>120.6</v>
      </c>
      <c r="I56">
        <v>110.4</v>
      </c>
      <c r="J56">
        <v>129.1</v>
      </c>
      <c r="K56">
        <v>150.1</v>
      </c>
      <c r="L56">
        <v>113.2</v>
      </c>
      <c r="M56">
        <v>104.8</v>
      </c>
      <c r="N56">
        <v>113.3</v>
      </c>
      <c r="O56">
        <v>115.6</v>
      </c>
      <c r="P56">
        <v>120.9</v>
      </c>
      <c r="Q56">
        <v>123.3</v>
      </c>
      <c r="R56">
        <v>118</v>
      </c>
      <c r="S56">
        <v>120.7</v>
      </c>
      <c r="T56">
        <v>118.3</v>
      </c>
      <c r="U56">
        <v>120.3</v>
      </c>
      <c r="V56" t="s">
        <v>47</v>
      </c>
      <c r="W56">
        <v>114.8</v>
      </c>
      <c r="X56">
        <v>115.3</v>
      </c>
      <c r="Y56">
        <v>115.4</v>
      </c>
      <c r="Z56">
        <v>113.4</v>
      </c>
      <c r="AA56">
        <v>113.2</v>
      </c>
      <c r="AB56">
        <v>111.8</v>
      </c>
      <c r="AC56">
        <v>115.5</v>
      </c>
      <c r="AD56">
        <v>108.8</v>
      </c>
      <c r="AE56">
        <v>113.1</v>
      </c>
      <c r="AF56">
        <v>119.5</v>
      </c>
      <c r="AG56">
        <v>1563.2</v>
      </c>
      <c r="AH56">
        <v>118</v>
      </c>
      <c r="AI56">
        <v>239</v>
      </c>
      <c r="AJ56">
        <v>567.4</v>
      </c>
      <c r="AK56">
        <v>113.4</v>
      </c>
      <c r="AL56">
        <v>113.2</v>
      </c>
      <c r="AM56">
        <v>111.8</v>
      </c>
      <c r="AN56">
        <v>115.5</v>
      </c>
    </row>
    <row r="57" spans="1:40" x14ac:dyDescent="0.25">
      <c r="A57" t="s">
        <v>32</v>
      </c>
      <c r="B57">
        <v>2014</v>
      </c>
      <c r="C57" t="s">
        <v>39</v>
      </c>
      <c r="D57" t="s">
        <v>127</v>
      </c>
      <c r="E57">
        <v>123.8</v>
      </c>
      <c r="F57">
        <v>126.4</v>
      </c>
      <c r="G57">
        <v>118</v>
      </c>
      <c r="H57">
        <v>121.6</v>
      </c>
      <c r="I57">
        <v>103.5</v>
      </c>
      <c r="J57">
        <v>133.69999999999999</v>
      </c>
      <c r="K57">
        <v>172.4</v>
      </c>
      <c r="L57">
        <v>113.1</v>
      </c>
      <c r="M57">
        <v>102.7</v>
      </c>
      <c r="N57">
        <v>120</v>
      </c>
      <c r="O57">
        <v>113.8</v>
      </c>
      <c r="P57">
        <v>123.4</v>
      </c>
      <c r="Q57">
        <v>127.1</v>
      </c>
      <c r="R57">
        <v>121</v>
      </c>
      <c r="S57">
        <v>118</v>
      </c>
      <c r="T57">
        <v>113.6</v>
      </c>
      <c r="U57">
        <v>117.4</v>
      </c>
      <c r="V57">
        <v>114.8</v>
      </c>
      <c r="W57">
        <v>114.8</v>
      </c>
      <c r="X57">
        <v>111.6</v>
      </c>
      <c r="Y57">
        <v>114.9</v>
      </c>
      <c r="Z57">
        <v>111.5</v>
      </c>
      <c r="AA57">
        <v>113</v>
      </c>
      <c r="AB57">
        <v>112.4</v>
      </c>
      <c r="AC57">
        <v>117.8</v>
      </c>
      <c r="AD57">
        <v>109.7</v>
      </c>
      <c r="AE57">
        <v>113.5</v>
      </c>
      <c r="AF57">
        <v>118.9</v>
      </c>
      <c r="AG57">
        <v>1599.5</v>
      </c>
      <c r="AH57">
        <v>121</v>
      </c>
      <c r="AI57">
        <v>231.6</v>
      </c>
      <c r="AJ57">
        <v>564.5</v>
      </c>
      <c r="AK57">
        <v>111.5</v>
      </c>
      <c r="AL57">
        <v>113</v>
      </c>
      <c r="AM57">
        <v>112.4</v>
      </c>
      <c r="AN57">
        <v>117.8</v>
      </c>
    </row>
    <row r="58" spans="1:40" x14ac:dyDescent="0.25">
      <c r="A58" t="s">
        <v>33</v>
      </c>
      <c r="B58">
        <v>2014</v>
      </c>
      <c r="C58" t="s">
        <v>39</v>
      </c>
      <c r="D58" t="s">
        <v>127</v>
      </c>
      <c r="E58">
        <v>122.4</v>
      </c>
      <c r="F58">
        <v>123.9</v>
      </c>
      <c r="G58">
        <v>117.8</v>
      </c>
      <c r="H58">
        <v>121</v>
      </c>
      <c r="I58">
        <v>107.9</v>
      </c>
      <c r="J58">
        <v>131.19999999999999</v>
      </c>
      <c r="K58">
        <v>157.69999999999999</v>
      </c>
      <c r="L58">
        <v>113.2</v>
      </c>
      <c r="M58">
        <v>104.1</v>
      </c>
      <c r="N58">
        <v>115.5</v>
      </c>
      <c r="O58">
        <v>114.8</v>
      </c>
      <c r="P58">
        <v>122.1</v>
      </c>
      <c r="Q58">
        <v>124.7</v>
      </c>
      <c r="R58">
        <v>118.8</v>
      </c>
      <c r="S58">
        <v>119.6</v>
      </c>
      <c r="T58">
        <v>116.3</v>
      </c>
      <c r="U58">
        <v>119.1</v>
      </c>
      <c r="V58">
        <v>114.8</v>
      </c>
      <c r="W58">
        <v>114.8</v>
      </c>
      <c r="X58">
        <v>113.9</v>
      </c>
      <c r="Y58">
        <v>115.2</v>
      </c>
      <c r="Z58">
        <v>112.7</v>
      </c>
      <c r="AA58">
        <v>113.1</v>
      </c>
      <c r="AB58">
        <v>112.1</v>
      </c>
      <c r="AC58">
        <v>116.8</v>
      </c>
      <c r="AD58">
        <v>109.2</v>
      </c>
      <c r="AE58">
        <v>113.3</v>
      </c>
      <c r="AF58">
        <v>119.2</v>
      </c>
      <c r="AG58">
        <v>1576.3</v>
      </c>
      <c r="AH58">
        <v>118.8</v>
      </c>
      <c r="AI58">
        <v>235.89999999999998</v>
      </c>
      <c r="AJ58">
        <v>566.4</v>
      </c>
      <c r="AK58">
        <v>112.7</v>
      </c>
      <c r="AL58">
        <v>113.1</v>
      </c>
      <c r="AM58">
        <v>112.1</v>
      </c>
      <c r="AN58">
        <v>116.8</v>
      </c>
    </row>
    <row r="59" spans="1:40" x14ac:dyDescent="0.25">
      <c r="A59" t="s">
        <v>30</v>
      </c>
      <c r="B59">
        <v>2014</v>
      </c>
      <c r="C59" t="s">
        <v>40</v>
      </c>
      <c r="D59" t="s">
        <v>123</v>
      </c>
      <c r="E59">
        <v>121.8</v>
      </c>
      <c r="F59">
        <v>122.8</v>
      </c>
      <c r="G59">
        <v>117.8</v>
      </c>
      <c r="H59">
        <v>121.9</v>
      </c>
      <c r="I59">
        <v>110.6</v>
      </c>
      <c r="J59">
        <v>129.69999999999999</v>
      </c>
      <c r="K59">
        <v>161.1</v>
      </c>
      <c r="L59">
        <v>114.1</v>
      </c>
      <c r="M59">
        <v>105.1</v>
      </c>
      <c r="N59">
        <v>114.6</v>
      </c>
      <c r="O59">
        <v>115.8</v>
      </c>
      <c r="P59">
        <v>121.7</v>
      </c>
      <c r="Q59">
        <v>125.3</v>
      </c>
      <c r="R59">
        <v>118.8</v>
      </c>
      <c r="S59">
        <v>120.9</v>
      </c>
      <c r="T59">
        <v>118.8</v>
      </c>
      <c r="U59">
        <v>120.7</v>
      </c>
      <c r="V59" t="s">
        <v>47</v>
      </c>
      <c r="W59">
        <v>115.5</v>
      </c>
      <c r="X59">
        <v>115.4</v>
      </c>
      <c r="Y59">
        <v>115.9</v>
      </c>
      <c r="Z59">
        <v>114</v>
      </c>
      <c r="AA59">
        <v>113.2</v>
      </c>
      <c r="AB59">
        <v>112.2</v>
      </c>
      <c r="AC59">
        <v>116.2</v>
      </c>
      <c r="AD59">
        <v>109.4</v>
      </c>
      <c r="AE59">
        <v>113.5</v>
      </c>
      <c r="AF59">
        <v>120.7</v>
      </c>
      <c r="AG59">
        <v>1582.2999999999997</v>
      </c>
      <c r="AH59">
        <v>118.8</v>
      </c>
      <c r="AI59">
        <v>239.7</v>
      </c>
      <c r="AJ59">
        <v>569.70000000000005</v>
      </c>
      <c r="AK59">
        <v>114</v>
      </c>
      <c r="AL59">
        <v>113.2</v>
      </c>
      <c r="AM59">
        <v>112.2</v>
      </c>
      <c r="AN59">
        <v>116.2</v>
      </c>
    </row>
    <row r="60" spans="1:40" x14ac:dyDescent="0.25">
      <c r="A60" t="s">
        <v>32</v>
      </c>
      <c r="B60">
        <v>2014</v>
      </c>
      <c r="C60" t="s">
        <v>40</v>
      </c>
      <c r="D60" t="s">
        <v>123</v>
      </c>
      <c r="E60">
        <v>124.8</v>
      </c>
      <c r="F60">
        <v>127.3</v>
      </c>
      <c r="G60">
        <v>116.5</v>
      </c>
      <c r="H60">
        <v>122.2</v>
      </c>
      <c r="I60">
        <v>103.6</v>
      </c>
      <c r="J60">
        <v>132.69999999999999</v>
      </c>
      <c r="K60">
        <v>181.9</v>
      </c>
      <c r="L60">
        <v>115.2</v>
      </c>
      <c r="M60">
        <v>102.7</v>
      </c>
      <c r="N60">
        <v>122.1</v>
      </c>
      <c r="O60">
        <v>114.4</v>
      </c>
      <c r="P60">
        <v>124.7</v>
      </c>
      <c r="Q60">
        <v>128.9</v>
      </c>
      <c r="R60">
        <v>123</v>
      </c>
      <c r="S60">
        <v>118.6</v>
      </c>
      <c r="T60">
        <v>114.1</v>
      </c>
      <c r="U60">
        <v>117.9</v>
      </c>
      <c r="V60">
        <v>115.5</v>
      </c>
      <c r="W60">
        <v>115.5</v>
      </c>
      <c r="X60">
        <v>111.8</v>
      </c>
      <c r="Y60">
        <v>115.3</v>
      </c>
      <c r="Z60">
        <v>112.2</v>
      </c>
      <c r="AA60">
        <v>112.5</v>
      </c>
      <c r="AB60">
        <v>112.9</v>
      </c>
      <c r="AC60">
        <v>119.2</v>
      </c>
      <c r="AD60">
        <v>110.5</v>
      </c>
      <c r="AE60">
        <v>113.9</v>
      </c>
      <c r="AF60">
        <v>119.9</v>
      </c>
      <c r="AG60">
        <v>1617</v>
      </c>
      <c r="AH60">
        <v>123</v>
      </c>
      <c r="AI60">
        <v>232.7</v>
      </c>
      <c r="AJ60">
        <v>567</v>
      </c>
      <c r="AK60">
        <v>112.2</v>
      </c>
      <c r="AL60">
        <v>112.5</v>
      </c>
      <c r="AM60">
        <v>112.9</v>
      </c>
      <c r="AN60">
        <v>119.2</v>
      </c>
    </row>
    <row r="61" spans="1:40" x14ac:dyDescent="0.25">
      <c r="A61" t="s">
        <v>33</v>
      </c>
      <c r="B61">
        <v>2014</v>
      </c>
      <c r="C61" t="s">
        <v>40</v>
      </c>
      <c r="D61" t="s">
        <v>123</v>
      </c>
      <c r="E61">
        <v>122.7</v>
      </c>
      <c r="F61">
        <v>124.4</v>
      </c>
      <c r="G61">
        <v>117.3</v>
      </c>
      <c r="H61">
        <v>122</v>
      </c>
      <c r="I61">
        <v>108</v>
      </c>
      <c r="J61">
        <v>131.1</v>
      </c>
      <c r="K61">
        <v>168.2</v>
      </c>
      <c r="L61">
        <v>114.5</v>
      </c>
      <c r="M61">
        <v>104.3</v>
      </c>
      <c r="N61">
        <v>117.1</v>
      </c>
      <c r="O61">
        <v>115.2</v>
      </c>
      <c r="P61">
        <v>123.1</v>
      </c>
      <c r="Q61">
        <v>126.6</v>
      </c>
      <c r="R61">
        <v>119.9</v>
      </c>
      <c r="S61">
        <v>120</v>
      </c>
      <c r="T61">
        <v>116.8</v>
      </c>
      <c r="U61">
        <v>119.6</v>
      </c>
      <c r="V61">
        <v>115.5</v>
      </c>
      <c r="W61">
        <v>115.5</v>
      </c>
      <c r="X61">
        <v>114</v>
      </c>
      <c r="Y61">
        <v>115.6</v>
      </c>
      <c r="Z61">
        <v>113.3</v>
      </c>
      <c r="AA61">
        <v>112.8</v>
      </c>
      <c r="AB61">
        <v>112.6</v>
      </c>
      <c r="AC61">
        <v>118</v>
      </c>
      <c r="AD61">
        <v>109.9</v>
      </c>
      <c r="AE61">
        <v>113.7</v>
      </c>
      <c r="AF61">
        <v>120.3</v>
      </c>
      <c r="AG61">
        <v>1594.4999999999998</v>
      </c>
      <c r="AH61">
        <v>119.9</v>
      </c>
      <c r="AI61">
        <v>236.8</v>
      </c>
      <c r="AJ61">
        <v>568.70000000000005</v>
      </c>
      <c r="AK61">
        <v>113.3</v>
      </c>
      <c r="AL61">
        <v>112.8</v>
      </c>
      <c r="AM61">
        <v>112.6</v>
      </c>
      <c r="AN61">
        <v>118</v>
      </c>
    </row>
    <row r="62" spans="1:40" x14ac:dyDescent="0.25">
      <c r="A62" t="s">
        <v>30</v>
      </c>
      <c r="B62">
        <v>2014</v>
      </c>
      <c r="C62" t="s">
        <v>41</v>
      </c>
      <c r="D62" t="s">
        <v>134</v>
      </c>
      <c r="E62">
        <v>122.3</v>
      </c>
      <c r="F62">
        <v>122.4</v>
      </c>
      <c r="G62">
        <v>117.8</v>
      </c>
      <c r="H62">
        <v>122.7</v>
      </c>
      <c r="I62">
        <v>110.4</v>
      </c>
      <c r="J62">
        <v>129.80000000000001</v>
      </c>
      <c r="K62">
        <v>158.80000000000001</v>
      </c>
      <c r="L62">
        <v>115</v>
      </c>
      <c r="M62">
        <v>104.7</v>
      </c>
      <c r="N62">
        <v>114.9</v>
      </c>
      <c r="O62">
        <v>116.5</v>
      </c>
      <c r="P62">
        <v>122.6</v>
      </c>
      <c r="Q62">
        <v>125.3</v>
      </c>
      <c r="R62">
        <v>119.5</v>
      </c>
      <c r="S62">
        <v>121.7</v>
      </c>
      <c r="T62">
        <v>119.2</v>
      </c>
      <c r="U62">
        <v>121.3</v>
      </c>
      <c r="V62" t="s">
        <v>47</v>
      </c>
      <c r="W62">
        <v>116.1</v>
      </c>
      <c r="X62">
        <v>115.8</v>
      </c>
      <c r="Y62">
        <v>116.7</v>
      </c>
      <c r="Z62">
        <v>114.5</v>
      </c>
      <c r="AA62">
        <v>112.8</v>
      </c>
      <c r="AB62">
        <v>112.6</v>
      </c>
      <c r="AC62">
        <v>116.6</v>
      </c>
      <c r="AD62">
        <v>109.1</v>
      </c>
      <c r="AE62">
        <v>113.7</v>
      </c>
      <c r="AF62">
        <v>120.9</v>
      </c>
      <c r="AG62">
        <v>1583.2</v>
      </c>
      <c r="AH62">
        <v>119.5</v>
      </c>
      <c r="AI62">
        <v>240.9</v>
      </c>
      <c r="AJ62">
        <v>571.4</v>
      </c>
      <c r="AK62">
        <v>114.5</v>
      </c>
      <c r="AL62">
        <v>112.8</v>
      </c>
      <c r="AM62">
        <v>112.6</v>
      </c>
      <c r="AN62">
        <v>116.6</v>
      </c>
    </row>
    <row r="63" spans="1:40" x14ac:dyDescent="0.25">
      <c r="A63" t="s">
        <v>32</v>
      </c>
      <c r="B63">
        <v>2014</v>
      </c>
      <c r="C63" t="s">
        <v>41</v>
      </c>
      <c r="D63" t="s">
        <v>134</v>
      </c>
      <c r="E63">
        <v>124.2</v>
      </c>
      <c r="F63">
        <v>125.4</v>
      </c>
      <c r="G63">
        <v>116.4</v>
      </c>
      <c r="H63">
        <v>122.7</v>
      </c>
      <c r="I63">
        <v>103.5</v>
      </c>
      <c r="J63">
        <v>124.5</v>
      </c>
      <c r="K63">
        <v>168.6</v>
      </c>
      <c r="L63">
        <v>116.9</v>
      </c>
      <c r="M63">
        <v>101.9</v>
      </c>
      <c r="N63">
        <v>122.9</v>
      </c>
      <c r="O63">
        <v>114.8</v>
      </c>
      <c r="P63">
        <v>125.2</v>
      </c>
      <c r="Q63">
        <v>126.7</v>
      </c>
      <c r="R63">
        <v>124.3</v>
      </c>
      <c r="S63">
        <v>119.2</v>
      </c>
      <c r="T63">
        <v>114.5</v>
      </c>
      <c r="U63">
        <v>118.4</v>
      </c>
      <c r="V63">
        <v>116.1</v>
      </c>
      <c r="W63">
        <v>116.1</v>
      </c>
      <c r="X63">
        <v>111.8</v>
      </c>
      <c r="Y63">
        <v>115.5</v>
      </c>
      <c r="Z63">
        <v>112.3</v>
      </c>
      <c r="AA63">
        <v>111.2</v>
      </c>
      <c r="AB63">
        <v>113.4</v>
      </c>
      <c r="AC63">
        <v>120</v>
      </c>
      <c r="AD63">
        <v>110</v>
      </c>
      <c r="AE63">
        <v>113.6</v>
      </c>
      <c r="AF63">
        <v>119.2</v>
      </c>
      <c r="AG63">
        <v>1593.7000000000003</v>
      </c>
      <c r="AH63">
        <v>124.3</v>
      </c>
      <c r="AI63">
        <v>233.7</v>
      </c>
      <c r="AJ63">
        <v>567</v>
      </c>
      <c r="AK63">
        <v>112.3</v>
      </c>
      <c r="AL63">
        <v>111.2</v>
      </c>
      <c r="AM63">
        <v>113.4</v>
      </c>
      <c r="AN63">
        <v>120</v>
      </c>
    </row>
    <row r="64" spans="1:40" x14ac:dyDescent="0.25">
      <c r="A64" t="s">
        <v>33</v>
      </c>
      <c r="B64">
        <v>2014</v>
      </c>
      <c r="C64" t="s">
        <v>41</v>
      </c>
      <c r="D64" t="s">
        <v>134</v>
      </c>
      <c r="E64">
        <v>122.9</v>
      </c>
      <c r="F64">
        <v>123.5</v>
      </c>
      <c r="G64">
        <v>117.3</v>
      </c>
      <c r="H64">
        <v>122.7</v>
      </c>
      <c r="I64">
        <v>107.9</v>
      </c>
      <c r="J64">
        <v>127.3</v>
      </c>
      <c r="K64">
        <v>162.1</v>
      </c>
      <c r="L64">
        <v>115.6</v>
      </c>
      <c r="M64">
        <v>103.8</v>
      </c>
      <c r="N64">
        <v>117.6</v>
      </c>
      <c r="O64">
        <v>115.8</v>
      </c>
      <c r="P64">
        <v>123.8</v>
      </c>
      <c r="Q64">
        <v>125.8</v>
      </c>
      <c r="R64">
        <v>120.8</v>
      </c>
      <c r="S64">
        <v>120.7</v>
      </c>
      <c r="T64">
        <v>117.2</v>
      </c>
      <c r="U64">
        <v>120.1</v>
      </c>
      <c r="V64">
        <v>116.1</v>
      </c>
      <c r="W64">
        <v>116.1</v>
      </c>
      <c r="X64">
        <v>114.3</v>
      </c>
      <c r="Y64">
        <v>116.1</v>
      </c>
      <c r="Z64">
        <v>113.7</v>
      </c>
      <c r="AA64">
        <v>112</v>
      </c>
      <c r="AB64">
        <v>113.1</v>
      </c>
      <c r="AC64">
        <v>118.6</v>
      </c>
      <c r="AD64">
        <v>109.5</v>
      </c>
      <c r="AE64">
        <v>113.7</v>
      </c>
      <c r="AF64">
        <v>120.1</v>
      </c>
      <c r="AG64">
        <v>1586.0999999999997</v>
      </c>
      <c r="AH64">
        <v>120.8</v>
      </c>
      <c r="AI64">
        <v>237.9</v>
      </c>
      <c r="AJ64">
        <v>569.70000000000005</v>
      </c>
      <c r="AK64">
        <v>113.7</v>
      </c>
      <c r="AL64">
        <v>112</v>
      </c>
      <c r="AM64">
        <v>113.1</v>
      </c>
      <c r="AN64">
        <v>118.6</v>
      </c>
    </row>
    <row r="65" spans="1:40" x14ac:dyDescent="0.25">
      <c r="A65" t="s">
        <v>30</v>
      </c>
      <c r="B65">
        <v>2014</v>
      </c>
      <c r="C65" t="s">
        <v>42</v>
      </c>
      <c r="D65" t="s">
        <v>133</v>
      </c>
      <c r="E65">
        <v>122.6</v>
      </c>
      <c r="F65">
        <v>122.5</v>
      </c>
      <c r="G65">
        <v>118.3</v>
      </c>
      <c r="H65">
        <v>123.2</v>
      </c>
      <c r="I65">
        <v>110.5</v>
      </c>
      <c r="J65">
        <v>128.9</v>
      </c>
      <c r="K65">
        <v>155.30000000000001</v>
      </c>
      <c r="L65">
        <v>115.5</v>
      </c>
      <c r="M65">
        <v>104</v>
      </c>
      <c r="N65">
        <v>115.3</v>
      </c>
      <c r="O65">
        <v>116.8</v>
      </c>
      <c r="P65">
        <v>123.2</v>
      </c>
      <c r="Q65">
        <v>125.1</v>
      </c>
      <c r="R65">
        <v>120</v>
      </c>
      <c r="S65">
        <v>122.7</v>
      </c>
      <c r="T65">
        <v>120.3</v>
      </c>
      <c r="U65">
        <v>122.3</v>
      </c>
      <c r="V65" t="s">
        <v>47</v>
      </c>
      <c r="W65">
        <v>116.7</v>
      </c>
      <c r="X65">
        <v>116.4</v>
      </c>
      <c r="Y65">
        <v>117.5</v>
      </c>
      <c r="Z65">
        <v>115.3</v>
      </c>
      <c r="AA65">
        <v>112.6</v>
      </c>
      <c r="AB65">
        <v>113</v>
      </c>
      <c r="AC65">
        <v>116.9</v>
      </c>
      <c r="AD65">
        <v>109.3</v>
      </c>
      <c r="AE65">
        <v>114</v>
      </c>
      <c r="AF65">
        <v>121</v>
      </c>
      <c r="AG65">
        <v>1581.1999999999998</v>
      </c>
      <c r="AH65">
        <v>120</v>
      </c>
      <c r="AI65">
        <v>243</v>
      </c>
      <c r="AJ65">
        <v>573.90000000000009</v>
      </c>
      <c r="AK65">
        <v>115.3</v>
      </c>
      <c r="AL65">
        <v>112.6</v>
      </c>
      <c r="AM65">
        <v>113</v>
      </c>
      <c r="AN65">
        <v>116.9</v>
      </c>
    </row>
    <row r="66" spans="1:40" x14ac:dyDescent="0.25">
      <c r="A66" t="s">
        <v>32</v>
      </c>
      <c r="B66">
        <v>2014</v>
      </c>
      <c r="C66" t="s">
        <v>42</v>
      </c>
      <c r="D66" t="s">
        <v>133</v>
      </c>
      <c r="E66">
        <v>124.6</v>
      </c>
      <c r="F66">
        <v>126.1</v>
      </c>
      <c r="G66">
        <v>117.8</v>
      </c>
      <c r="H66">
        <v>123.1</v>
      </c>
      <c r="I66">
        <v>103.5</v>
      </c>
      <c r="J66">
        <v>123.5</v>
      </c>
      <c r="K66">
        <v>159.6</v>
      </c>
      <c r="L66">
        <v>117.4</v>
      </c>
      <c r="M66">
        <v>101.2</v>
      </c>
      <c r="N66">
        <v>123.8</v>
      </c>
      <c r="O66">
        <v>115.2</v>
      </c>
      <c r="P66">
        <v>125.9</v>
      </c>
      <c r="Q66">
        <v>125.8</v>
      </c>
      <c r="R66">
        <v>124.3</v>
      </c>
      <c r="S66">
        <v>119.6</v>
      </c>
      <c r="T66">
        <v>114.9</v>
      </c>
      <c r="U66">
        <v>118.9</v>
      </c>
      <c r="V66">
        <v>116.7</v>
      </c>
      <c r="W66">
        <v>116.7</v>
      </c>
      <c r="X66">
        <v>112</v>
      </c>
      <c r="Y66">
        <v>115.8</v>
      </c>
      <c r="Z66">
        <v>112.6</v>
      </c>
      <c r="AA66">
        <v>111</v>
      </c>
      <c r="AB66">
        <v>113.6</v>
      </c>
      <c r="AC66">
        <v>120.2</v>
      </c>
      <c r="AD66">
        <v>110.1</v>
      </c>
      <c r="AE66">
        <v>113.7</v>
      </c>
      <c r="AF66">
        <v>119.1</v>
      </c>
      <c r="AG66">
        <v>1587.5</v>
      </c>
      <c r="AH66">
        <v>124.3</v>
      </c>
      <c r="AI66">
        <v>234.5</v>
      </c>
      <c r="AJ66">
        <v>568.30000000000007</v>
      </c>
      <c r="AK66">
        <v>112.6</v>
      </c>
      <c r="AL66">
        <v>111</v>
      </c>
      <c r="AM66">
        <v>113.6</v>
      </c>
      <c r="AN66">
        <v>120.2</v>
      </c>
    </row>
    <row r="67" spans="1:40" x14ac:dyDescent="0.25">
      <c r="A67" t="s">
        <v>33</v>
      </c>
      <c r="B67">
        <v>2014</v>
      </c>
      <c r="C67" t="s">
        <v>42</v>
      </c>
      <c r="D67" t="s">
        <v>133</v>
      </c>
      <c r="E67">
        <v>123.2</v>
      </c>
      <c r="F67">
        <v>123.8</v>
      </c>
      <c r="G67">
        <v>118.1</v>
      </c>
      <c r="H67">
        <v>123.2</v>
      </c>
      <c r="I67">
        <v>107.9</v>
      </c>
      <c r="J67">
        <v>126.4</v>
      </c>
      <c r="K67">
        <v>156.80000000000001</v>
      </c>
      <c r="L67">
        <v>116.1</v>
      </c>
      <c r="M67">
        <v>103.1</v>
      </c>
      <c r="N67">
        <v>118.1</v>
      </c>
      <c r="O67">
        <v>116.1</v>
      </c>
      <c r="P67">
        <v>124.5</v>
      </c>
      <c r="Q67">
        <v>125.4</v>
      </c>
      <c r="R67">
        <v>121.1</v>
      </c>
      <c r="S67">
        <v>121.5</v>
      </c>
      <c r="T67">
        <v>118.1</v>
      </c>
      <c r="U67">
        <v>121</v>
      </c>
      <c r="V67">
        <v>116.7</v>
      </c>
      <c r="W67">
        <v>116.7</v>
      </c>
      <c r="X67">
        <v>114.7</v>
      </c>
      <c r="Y67">
        <v>116.7</v>
      </c>
      <c r="Z67">
        <v>114.3</v>
      </c>
      <c r="AA67">
        <v>111.8</v>
      </c>
      <c r="AB67">
        <v>113.3</v>
      </c>
      <c r="AC67">
        <v>118.8</v>
      </c>
      <c r="AD67">
        <v>109.6</v>
      </c>
      <c r="AE67">
        <v>113.9</v>
      </c>
      <c r="AF67">
        <v>120.1</v>
      </c>
      <c r="AG67">
        <v>1582.7</v>
      </c>
      <c r="AH67">
        <v>121.1</v>
      </c>
      <c r="AI67">
        <v>239.6</v>
      </c>
      <c r="AJ67">
        <v>571.6</v>
      </c>
      <c r="AK67">
        <v>114.3</v>
      </c>
      <c r="AL67">
        <v>111.8</v>
      </c>
      <c r="AM67">
        <v>113.3</v>
      </c>
      <c r="AN67">
        <v>118.8</v>
      </c>
    </row>
    <row r="68" spans="1:40" x14ac:dyDescent="0.25">
      <c r="A68" t="s">
        <v>30</v>
      </c>
      <c r="B68">
        <v>2014</v>
      </c>
      <c r="C68" t="s">
        <v>44</v>
      </c>
      <c r="D68" t="s">
        <v>132</v>
      </c>
      <c r="E68">
        <v>122.7</v>
      </c>
      <c r="F68">
        <v>122.6</v>
      </c>
      <c r="G68">
        <v>119.9</v>
      </c>
      <c r="H68">
        <v>124</v>
      </c>
      <c r="I68">
        <v>110.5</v>
      </c>
      <c r="J68">
        <v>128.80000000000001</v>
      </c>
      <c r="K68">
        <v>152</v>
      </c>
      <c r="L68">
        <v>116.2</v>
      </c>
      <c r="M68">
        <v>103.3</v>
      </c>
      <c r="N68">
        <v>115.8</v>
      </c>
      <c r="O68">
        <v>116.8</v>
      </c>
      <c r="P68">
        <v>124.5</v>
      </c>
      <c r="Q68">
        <v>124.9</v>
      </c>
      <c r="R68">
        <v>120.8</v>
      </c>
      <c r="S68">
        <v>123.3</v>
      </c>
      <c r="T68">
        <v>120.5</v>
      </c>
      <c r="U68">
        <v>122.9</v>
      </c>
      <c r="V68" t="s">
        <v>47</v>
      </c>
      <c r="W68">
        <v>117.1</v>
      </c>
      <c r="X68">
        <v>117.3</v>
      </c>
      <c r="Y68">
        <v>118.1</v>
      </c>
      <c r="Z68">
        <v>115.9</v>
      </c>
      <c r="AA68">
        <v>112</v>
      </c>
      <c r="AB68">
        <v>113.3</v>
      </c>
      <c r="AC68">
        <v>117.2</v>
      </c>
      <c r="AD68">
        <v>108.8</v>
      </c>
      <c r="AE68">
        <v>114.1</v>
      </c>
      <c r="AF68">
        <v>121.1</v>
      </c>
      <c r="AG68">
        <v>1582</v>
      </c>
      <c r="AH68">
        <v>120.8</v>
      </c>
      <c r="AI68">
        <v>243.8</v>
      </c>
      <c r="AJ68">
        <v>575.4</v>
      </c>
      <c r="AK68">
        <v>115.9</v>
      </c>
      <c r="AL68">
        <v>112</v>
      </c>
      <c r="AM68">
        <v>113.3</v>
      </c>
      <c r="AN68">
        <v>117.2</v>
      </c>
    </row>
    <row r="69" spans="1:40" x14ac:dyDescent="0.25">
      <c r="A69" t="s">
        <v>32</v>
      </c>
      <c r="B69">
        <v>2014</v>
      </c>
      <c r="C69" t="s">
        <v>44</v>
      </c>
      <c r="D69" t="s">
        <v>132</v>
      </c>
      <c r="E69">
        <v>124.5</v>
      </c>
      <c r="F69">
        <v>125.6</v>
      </c>
      <c r="G69">
        <v>122.7</v>
      </c>
      <c r="H69">
        <v>124.6</v>
      </c>
      <c r="I69">
        <v>103.2</v>
      </c>
      <c r="J69">
        <v>122.2</v>
      </c>
      <c r="K69">
        <v>153.19999999999999</v>
      </c>
      <c r="L69">
        <v>119.3</v>
      </c>
      <c r="M69">
        <v>99.8</v>
      </c>
      <c r="N69">
        <v>124.6</v>
      </c>
      <c r="O69">
        <v>115.8</v>
      </c>
      <c r="P69">
        <v>126.9</v>
      </c>
      <c r="Q69">
        <v>125.4</v>
      </c>
      <c r="R69">
        <v>125.8</v>
      </c>
      <c r="S69">
        <v>120.3</v>
      </c>
      <c r="T69">
        <v>115.4</v>
      </c>
      <c r="U69">
        <v>119.5</v>
      </c>
      <c r="V69">
        <v>117.1</v>
      </c>
      <c r="W69">
        <v>117.1</v>
      </c>
      <c r="X69">
        <v>112.6</v>
      </c>
      <c r="Y69">
        <v>116.4</v>
      </c>
      <c r="Z69">
        <v>113</v>
      </c>
      <c r="AA69">
        <v>109.7</v>
      </c>
      <c r="AB69">
        <v>114</v>
      </c>
      <c r="AC69">
        <v>120.3</v>
      </c>
      <c r="AD69">
        <v>109.6</v>
      </c>
      <c r="AE69">
        <v>113.4</v>
      </c>
      <c r="AF69">
        <v>119</v>
      </c>
      <c r="AG69">
        <v>1587.8</v>
      </c>
      <c r="AH69">
        <v>125.8</v>
      </c>
      <c r="AI69">
        <v>235.7</v>
      </c>
      <c r="AJ69">
        <v>569.1</v>
      </c>
      <c r="AK69">
        <v>113</v>
      </c>
      <c r="AL69">
        <v>109.7</v>
      </c>
      <c r="AM69">
        <v>114</v>
      </c>
      <c r="AN69">
        <v>120.3</v>
      </c>
    </row>
    <row r="70" spans="1:40" x14ac:dyDescent="0.25">
      <c r="A70" t="s">
        <v>33</v>
      </c>
      <c r="B70">
        <v>2014</v>
      </c>
      <c r="C70" t="s">
        <v>44</v>
      </c>
      <c r="D70" t="s">
        <v>132</v>
      </c>
      <c r="E70">
        <v>123.3</v>
      </c>
      <c r="F70">
        <v>123.7</v>
      </c>
      <c r="G70">
        <v>121</v>
      </c>
      <c r="H70">
        <v>124.2</v>
      </c>
      <c r="I70">
        <v>107.8</v>
      </c>
      <c r="J70">
        <v>125.7</v>
      </c>
      <c r="K70">
        <v>152.4</v>
      </c>
      <c r="L70">
        <v>117.2</v>
      </c>
      <c r="M70">
        <v>102.1</v>
      </c>
      <c r="N70">
        <v>118.7</v>
      </c>
      <c r="O70">
        <v>116.4</v>
      </c>
      <c r="P70">
        <v>125.6</v>
      </c>
      <c r="Q70">
        <v>125.1</v>
      </c>
      <c r="R70">
        <v>122.1</v>
      </c>
      <c r="S70">
        <v>122.1</v>
      </c>
      <c r="T70">
        <v>118.4</v>
      </c>
      <c r="U70">
        <v>121.6</v>
      </c>
      <c r="V70">
        <v>117.1</v>
      </c>
      <c r="W70">
        <v>117.1</v>
      </c>
      <c r="X70">
        <v>115.5</v>
      </c>
      <c r="Y70">
        <v>117.3</v>
      </c>
      <c r="Z70">
        <v>114.8</v>
      </c>
      <c r="AA70">
        <v>110.8</v>
      </c>
      <c r="AB70">
        <v>113.7</v>
      </c>
      <c r="AC70">
        <v>119</v>
      </c>
      <c r="AD70">
        <v>109.1</v>
      </c>
      <c r="AE70">
        <v>113.8</v>
      </c>
      <c r="AF70">
        <v>120.1</v>
      </c>
      <c r="AG70">
        <v>1583.2</v>
      </c>
      <c r="AH70">
        <v>122.1</v>
      </c>
      <c r="AI70">
        <v>240.5</v>
      </c>
      <c r="AJ70">
        <v>572.79999999999995</v>
      </c>
      <c r="AK70">
        <v>114.8</v>
      </c>
      <c r="AL70">
        <v>110.8</v>
      </c>
      <c r="AM70">
        <v>113.7</v>
      </c>
      <c r="AN70">
        <v>119</v>
      </c>
    </row>
    <row r="71" spans="1:40" x14ac:dyDescent="0.25">
      <c r="A71" t="s">
        <v>30</v>
      </c>
      <c r="B71">
        <v>2014</v>
      </c>
      <c r="C71" t="s">
        <v>45</v>
      </c>
      <c r="D71" t="s">
        <v>124</v>
      </c>
      <c r="E71">
        <v>122.4</v>
      </c>
      <c r="F71">
        <v>122.4</v>
      </c>
      <c r="G71">
        <v>121.8</v>
      </c>
      <c r="H71">
        <v>124.2</v>
      </c>
      <c r="I71">
        <v>110.2</v>
      </c>
      <c r="J71">
        <v>128.6</v>
      </c>
      <c r="K71">
        <v>140.30000000000001</v>
      </c>
      <c r="L71">
        <v>116.3</v>
      </c>
      <c r="M71">
        <v>102</v>
      </c>
      <c r="N71">
        <v>116</v>
      </c>
      <c r="O71">
        <v>117.3</v>
      </c>
      <c r="P71">
        <v>124.8</v>
      </c>
      <c r="Q71">
        <v>123.3</v>
      </c>
      <c r="R71">
        <v>121.7</v>
      </c>
      <c r="S71">
        <v>123.8</v>
      </c>
      <c r="T71">
        <v>120.6</v>
      </c>
      <c r="U71">
        <v>123.3</v>
      </c>
      <c r="V71" t="s">
        <v>47</v>
      </c>
      <c r="W71">
        <v>116.5</v>
      </c>
      <c r="X71">
        <v>117.4</v>
      </c>
      <c r="Y71">
        <v>118.2</v>
      </c>
      <c r="Z71">
        <v>116.2</v>
      </c>
      <c r="AA71">
        <v>111.5</v>
      </c>
      <c r="AB71">
        <v>113.3</v>
      </c>
      <c r="AC71">
        <v>117.7</v>
      </c>
      <c r="AD71">
        <v>109.4</v>
      </c>
      <c r="AE71">
        <v>114.2</v>
      </c>
      <c r="AF71">
        <v>120.3</v>
      </c>
      <c r="AG71">
        <v>1569.6</v>
      </c>
      <c r="AH71">
        <v>121.7</v>
      </c>
      <c r="AI71">
        <v>244.39999999999998</v>
      </c>
      <c r="AJ71">
        <v>575.70000000000005</v>
      </c>
      <c r="AK71">
        <v>116.2</v>
      </c>
      <c r="AL71">
        <v>111.5</v>
      </c>
      <c r="AM71">
        <v>113.3</v>
      </c>
      <c r="AN71">
        <v>117.7</v>
      </c>
    </row>
    <row r="72" spans="1:40" x14ac:dyDescent="0.25">
      <c r="A72" t="s">
        <v>32</v>
      </c>
      <c r="B72">
        <v>2014</v>
      </c>
      <c r="C72" t="s">
        <v>45</v>
      </c>
      <c r="D72" t="s">
        <v>124</v>
      </c>
      <c r="E72">
        <v>124</v>
      </c>
      <c r="F72">
        <v>124.7</v>
      </c>
      <c r="G72">
        <v>126.3</v>
      </c>
      <c r="H72">
        <v>124.9</v>
      </c>
      <c r="I72">
        <v>103</v>
      </c>
      <c r="J72">
        <v>122.3</v>
      </c>
      <c r="K72">
        <v>141</v>
      </c>
      <c r="L72">
        <v>120.1</v>
      </c>
      <c r="M72">
        <v>97.8</v>
      </c>
      <c r="N72">
        <v>125.4</v>
      </c>
      <c r="O72">
        <v>116.1</v>
      </c>
      <c r="P72">
        <v>127.6</v>
      </c>
      <c r="Q72">
        <v>124</v>
      </c>
      <c r="R72">
        <v>126.4</v>
      </c>
      <c r="S72">
        <v>120.7</v>
      </c>
      <c r="T72">
        <v>115.8</v>
      </c>
      <c r="U72">
        <v>120</v>
      </c>
      <c r="V72">
        <v>116.5</v>
      </c>
      <c r="W72">
        <v>116.5</v>
      </c>
      <c r="X72">
        <v>113</v>
      </c>
      <c r="Y72">
        <v>116.8</v>
      </c>
      <c r="Z72">
        <v>113.2</v>
      </c>
      <c r="AA72">
        <v>108.8</v>
      </c>
      <c r="AB72">
        <v>114.3</v>
      </c>
      <c r="AC72">
        <v>120.7</v>
      </c>
      <c r="AD72">
        <v>110.4</v>
      </c>
      <c r="AE72">
        <v>113.4</v>
      </c>
      <c r="AF72">
        <v>118.4</v>
      </c>
      <c r="AG72">
        <v>1577.1999999999998</v>
      </c>
      <c r="AH72">
        <v>126.4</v>
      </c>
      <c r="AI72">
        <v>236.5</v>
      </c>
      <c r="AJ72">
        <v>570.1</v>
      </c>
      <c r="AK72">
        <v>113.2</v>
      </c>
      <c r="AL72">
        <v>108.8</v>
      </c>
      <c r="AM72">
        <v>114.3</v>
      </c>
      <c r="AN72">
        <v>120.7</v>
      </c>
    </row>
    <row r="73" spans="1:40" x14ac:dyDescent="0.25">
      <c r="A73" t="s">
        <v>33</v>
      </c>
      <c r="B73">
        <v>2014</v>
      </c>
      <c r="C73" t="s">
        <v>45</v>
      </c>
      <c r="D73" t="s">
        <v>124</v>
      </c>
      <c r="E73">
        <v>122.9</v>
      </c>
      <c r="F73">
        <v>123.2</v>
      </c>
      <c r="G73">
        <v>123.5</v>
      </c>
      <c r="H73">
        <v>124.5</v>
      </c>
      <c r="I73">
        <v>107.6</v>
      </c>
      <c r="J73">
        <v>125.7</v>
      </c>
      <c r="K73">
        <v>140.5</v>
      </c>
      <c r="L73">
        <v>117.6</v>
      </c>
      <c r="M73">
        <v>100.6</v>
      </c>
      <c r="N73">
        <v>119.1</v>
      </c>
      <c r="O73">
        <v>116.8</v>
      </c>
      <c r="P73">
        <v>126.1</v>
      </c>
      <c r="Q73">
        <v>123.6</v>
      </c>
      <c r="R73">
        <v>123</v>
      </c>
      <c r="S73">
        <v>122.6</v>
      </c>
      <c r="T73">
        <v>118.6</v>
      </c>
      <c r="U73">
        <v>122</v>
      </c>
      <c r="V73">
        <v>116.5</v>
      </c>
      <c r="W73">
        <v>116.5</v>
      </c>
      <c r="X73">
        <v>115.7</v>
      </c>
      <c r="Y73">
        <v>117.5</v>
      </c>
      <c r="Z73">
        <v>115.1</v>
      </c>
      <c r="AA73">
        <v>110.1</v>
      </c>
      <c r="AB73">
        <v>113.9</v>
      </c>
      <c r="AC73">
        <v>119.5</v>
      </c>
      <c r="AD73">
        <v>109.8</v>
      </c>
      <c r="AE73">
        <v>113.8</v>
      </c>
      <c r="AF73">
        <v>119.4</v>
      </c>
      <c r="AG73">
        <v>1571.6999999999998</v>
      </c>
      <c r="AH73">
        <v>123</v>
      </c>
      <c r="AI73">
        <v>241.2</v>
      </c>
      <c r="AJ73">
        <v>573.29999999999995</v>
      </c>
      <c r="AK73">
        <v>115.1</v>
      </c>
      <c r="AL73">
        <v>110.1</v>
      </c>
      <c r="AM73">
        <v>113.9</v>
      </c>
      <c r="AN73">
        <v>119.5</v>
      </c>
    </row>
    <row r="74" spans="1:40" x14ac:dyDescent="0.25">
      <c r="A74" t="s">
        <v>30</v>
      </c>
      <c r="B74">
        <v>2015</v>
      </c>
      <c r="C74" t="s">
        <v>31</v>
      </c>
      <c r="D74" t="s">
        <v>139</v>
      </c>
      <c r="E74">
        <v>123.1</v>
      </c>
      <c r="F74">
        <v>123.1</v>
      </c>
      <c r="G74">
        <v>122.1</v>
      </c>
      <c r="H74">
        <v>124.9</v>
      </c>
      <c r="I74">
        <v>111</v>
      </c>
      <c r="J74">
        <v>130.4</v>
      </c>
      <c r="K74">
        <v>132.30000000000001</v>
      </c>
      <c r="L74">
        <v>117.2</v>
      </c>
      <c r="M74">
        <v>100.5</v>
      </c>
      <c r="N74">
        <v>117.2</v>
      </c>
      <c r="O74">
        <v>117.9</v>
      </c>
      <c r="P74">
        <v>125.6</v>
      </c>
      <c r="Q74">
        <v>122.8</v>
      </c>
      <c r="R74">
        <v>122.7</v>
      </c>
      <c r="S74">
        <v>124.4</v>
      </c>
      <c r="T74">
        <v>121.6</v>
      </c>
      <c r="U74">
        <v>124</v>
      </c>
      <c r="V74" t="s">
        <v>47</v>
      </c>
      <c r="W74">
        <v>117.3</v>
      </c>
      <c r="X74">
        <v>118.4</v>
      </c>
      <c r="Y74">
        <v>118.9</v>
      </c>
      <c r="Z74">
        <v>116.6</v>
      </c>
      <c r="AA74">
        <v>111</v>
      </c>
      <c r="AB74">
        <v>114</v>
      </c>
      <c r="AC74">
        <v>118.2</v>
      </c>
      <c r="AD74">
        <v>110.2</v>
      </c>
      <c r="AE74">
        <v>114.5</v>
      </c>
      <c r="AF74">
        <v>120.3</v>
      </c>
      <c r="AG74">
        <v>1568.1</v>
      </c>
      <c r="AH74">
        <v>122.7</v>
      </c>
      <c r="AI74">
        <v>246</v>
      </c>
      <c r="AJ74">
        <v>579.29999999999995</v>
      </c>
      <c r="AK74">
        <v>116.6</v>
      </c>
      <c r="AL74">
        <v>111</v>
      </c>
      <c r="AM74">
        <v>114</v>
      </c>
      <c r="AN74">
        <v>118.2</v>
      </c>
    </row>
    <row r="75" spans="1:40" x14ac:dyDescent="0.25">
      <c r="A75" t="s">
        <v>32</v>
      </c>
      <c r="B75">
        <v>2015</v>
      </c>
      <c r="C75" t="s">
        <v>31</v>
      </c>
      <c r="D75" t="s">
        <v>139</v>
      </c>
      <c r="E75">
        <v>124</v>
      </c>
      <c r="F75">
        <v>125.5</v>
      </c>
      <c r="G75">
        <v>126.6</v>
      </c>
      <c r="H75">
        <v>125.2</v>
      </c>
      <c r="I75">
        <v>104.3</v>
      </c>
      <c r="J75">
        <v>121.3</v>
      </c>
      <c r="K75">
        <v>134.4</v>
      </c>
      <c r="L75">
        <v>122.9</v>
      </c>
      <c r="M75">
        <v>96.1</v>
      </c>
      <c r="N75">
        <v>126.6</v>
      </c>
      <c r="O75">
        <v>116.5</v>
      </c>
      <c r="P75">
        <v>128</v>
      </c>
      <c r="Q75">
        <v>123.5</v>
      </c>
      <c r="R75">
        <v>127.4</v>
      </c>
      <c r="S75">
        <v>121</v>
      </c>
      <c r="T75">
        <v>116.1</v>
      </c>
      <c r="U75">
        <v>120.2</v>
      </c>
      <c r="V75">
        <v>117.3</v>
      </c>
      <c r="W75">
        <v>117.3</v>
      </c>
      <c r="X75">
        <v>113.4</v>
      </c>
      <c r="Y75">
        <v>117.2</v>
      </c>
      <c r="Z75">
        <v>113.7</v>
      </c>
      <c r="AA75">
        <v>107.9</v>
      </c>
      <c r="AB75">
        <v>114.6</v>
      </c>
      <c r="AC75">
        <v>120.8</v>
      </c>
      <c r="AD75">
        <v>111.4</v>
      </c>
      <c r="AE75">
        <v>113.4</v>
      </c>
      <c r="AF75">
        <v>118.5</v>
      </c>
      <c r="AG75">
        <v>1574.8999999999999</v>
      </c>
      <c r="AH75">
        <v>127.4</v>
      </c>
      <c r="AI75">
        <v>237.1</v>
      </c>
      <c r="AJ75">
        <v>572.69999999999993</v>
      </c>
      <c r="AK75">
        <v>113.7</v>
      </c>
      <c r="AL75">
        <v>107.9</v>
      </c>
      <c r="AM75">
        <v>114.6</v>
      </c>
      <c r="AN75">
        <v>120.8</v>
      </c>
    </row>
    <row r="76" spans="1:40" x14ac:dyDescent="0.25">
      <c r="A76" t="s">
        <v>33</v>
      </c>
      <c r="B76">
        <v>2015</v>
      </c>
      <c r="C76" t="s">
        <v>31</v>
      </c>
      <c r="D76" t="s">
        <v>139</v>
      </c>
      <c r="E76">
        <v>123.4</v>
      </c>
      <c r="F76">
        <v>123.9</v>
      </c>
      <c r="G76">
        <v>123.8</v>
      </c>
      <c r="H76">
        <v>125</v>
      </c>
      <c r="I76">
        <v>108.5</v>
      </c>
      <c r="J76">
        <v>126.2</v>
      </c>
      <c r="K76">
        <v>133</v>
      </c>
      <c r="L76">
        <v>119.1</v>
      </c>
      <c r="M76">
        <v>99</v>
      </c>
      <c r="N76">
        <v>120.3</v>
      </c>
      <c r="O76">
        <v>117.3</v>
      </c>
      <c r="P76">
        <v>126.7</v>
      </c>
      <c r="Q76">
        <v>123.1</v>
      </c>
      <c r="R76">
        <v>124</v>
      </c>
      <c r="S76">
        <v>123.1</v>
      </c>
      <c r="T76">
        <v>119.3</v>
      </c>
      <c r="U76">
        <v>122.5</v>
      </c>
      <c r="V76">
        <v>117.3</v>
      </c>
      <c r="W76">
        <v>117.3</v>
      </c>
      <c r="X76">
        <v>116.5</v>
      </c>
      <c r="Y76">
        <v>118.1</v>
      </c>
      <c r="Z76">
        <v>115.5</v>
      </c>
      <c r="AA76">
        <v>109.4</v>
      </c>
      <c r="AB76">
        <v>114.3</v>
      </c>
      <c r="AC76">
        <v>119.7</v>
      </c>
      <c r="AD76">
        <v>110.7</v>
      </c>
      <c r="AE76">
        <v>114</v>
      </c>
      <c r="AF76">
        <v>119.5</v>
      </c>
      <c r="AG76">
        <v>1569.3</v>
      </c>
      <c r="AH76">
        <v>124</v>
      </c>
      <c r="AI76">
        <v>242.39999999999998</v>
      </c>
      <c r="AJ76">
        <v>576.59999999999991</v>
      </c>
      <c r="AK76">
        <v>115.5</v>
      </c>
      <c r="AL76">
        <v>109.4</v>
      </c>
      <c r="AM76">
        <v>114.3</v>
      </c>
      <c r="AN76">
        <v>119.7</v>
      </c>
    </row>
    <row r="77" spans="1:40" x14ac:dyDescent="0.25">
      <c r="A77" t="s">
        <v>30</v>
      </c>
      <c r="B77">
        <v>2015</v>
      </c>
      <c r="C77" t="s">
        <v>34</v>
      </c>
      <c r="D77" t="s">
        <v>138</v>
      </c>
      <c r="E77">
        <v>123.4</v>
      </c>
      <c r="F77">
        <v>124.4</v>
      </c>
      <c r="G77">
        <v>122.1</v>
      </c>
      <c r="H77">
        <v>125.8</v>
      </c>
      <c r="I77">
        <v>111.5</v>
      </c>
      <c r="J77">
        <v>129.4</v>
      </c>
      <c r="K77">
        <v>128.19999999999999</v>
      </c>
      <c r="L77">
        <v>118.8</v>
      </c>
      <c r="M77">
        <v>100</v>
      </c>
      <c r="N77">
        <v>118.6</v>
      </c>
      <c r="O77">
        <v>118.8</v>
      </c>
      <c r="P77">
        <v>126.8</v>
      </c>
      <c r="Q77">
        <v>122.8</v>
      </c>
      <c r="R77">
        <v>124.2</v>
      </c>
      <c r="S77">
        <v>125.4</v>
      </c>
      <c r="T77">
        <v>122.7</v>
      </c>
      <c r="U77">
        <v>125</v>
      </c>
      <c r="V77" t="s">
        <v>47</v>
      </c>
      <c r="W77">
        <v>118.1</v>
      </c>
      <c r="X77">
        <v>120</v>
      </c>
      <c r="Y77">
        <v>119.6</v>
      </c>
      <c r="Z77">
        <v>117.7</v>
      </c>
      <c r="AA77">
        <v>110.9</v>
      </c>
      <c r="AB77">
        <v>114.8</v>
      </c>
      <c r="AC77">
        <v>118.7</v>
      </c>
      <c r="AD77">
        <v>110.8</v>
      </c>
      <c r="AE77">
        <v>115</v>
      </c>
      <c r="AF77">
        <v>120.6</v>
      </c>
      <c r="AG77">
        <v>1570.5999999999997</v>
      </c>
      <c r="AH77">
        <v>124.2</v>
      </c>
      <c r="AI77">
        <v>248.10000000000002</v>
      </c>
      <c r="AJ77">
        <v>583.5</v>
      </c>
      <c r="AK77">
        <v>117.7</v>
      </c>
      <c r="AL77">
        <v>110.9</v>
      </c>
      <c r="AM77">
        <v>114.8</v>
      </c>
      <c r="AN77">
        <v>118.7</v>
      </c>
    </row>
    <row r="78" spans="1:40" x14ac:dyDescent="0.25">
      <c r="A78" t="s">
        <v>32</v>
      </c>
      <c r="B78">
        <v>2015</v>
      </c>
      <c r="C78" t="s">
        <v>34</v>
      </c>
      <c r="D78" t="s">
        <v>138</v>
      </c>
      <c r="E78">
        <v>124.3</v>
      </c>
      <c r="F78">
        <v>126.5</v>
      </c>
      <c r="G78">
        <v>119.5</v>
      </c>
      <c r="H78">
        <v>125.6</v>
      </c>
      <c r="I78">
        <v>104.9</v>
      </c>
      <c r="J78">
        <v>121.6</v>
      </c>
      <c r="K78">
        <v>131.80000000000001</v>
      </c>
      <c r="L78">
        <v>125.1</v>
      </c>
      <c r="M78">
        <v>95</v>
      </c>
      <c r="N78">
        <v>127.7</v>
      </c>
      <c r="O78">
        <v>116.8</v>
      </c>
      <c r="P78">
        <v>128.6</v>
      </c>
      <c r="Q78">
        <v>123.7</v>
      </c>
      <c r="R78">
        <v>128.1</v>
      </c>
      <c r="S78">
        <v>121.3</v>
      </c>
      <c r="T78">
        <v>116.5</v>
      </c>
      <c r="U78">
        <v>120.6</v>
      </c>
      <c r="V78">
        <v>118.1</v>
      </c>
      <c r="W78">
        <v>118.1</v>
      </c>
      <c r="X78">
        <v>114</v>
      </c>
      <c r="Y78">
        <v>117.7</v>
      </c>
      <c r="Z78">
        <v>114.1</v>
      </c>
      <c r="AA78">
        <v>106.8</v>
      </c>
      <c r="AB78">
        <v>114.9</v>
      </c>
      <c r="AC78">
        <v>120.4</v>
      </c>
      <c r="AD78">
        <v>111.7</v>
      </c>
      <c r="AE78">
        <v>113.2</v>
      </c>
      <c r="AF78">
        <v>118.7</v>
      </c>
      <c r="AG78">
        <v>1571.1000000000001</v>
      </c>
      <c r="AH78">
        <v>128.1</v>
      </c>
      <c r="AI78">
        <v>237.8</v>
      </c>
      <c r="AJ78">
        <v>574.70000000000005</v>
      </c>
      <c r="AK78">
        <v>114.1</v>
      </c>
      <c r="AL78">
        <v>106.8</v>
      </c>
      <c r="AM78">
        <v>114.9</v>
      </c>
      <c r="AN78">
        <v>120.4</v>
      </c>
    </row>
    <row r="79" spans="1:40" x14ac:dyDescent="0.25">
      <c r="A79" t="s">
        <v>33</v>
      </c>
      <c r="B79">
        <v>2015</v>
      </c>
      <c r="C79" t="s">
        <v>34</v>
      </c>
      <c r="D79" t="s">
        <v>138</v>
      </c>
      <c r="E79">
        <v>123.7</v>
      </c>
      <c r="F79">
        <v>125.1</v>
      </c>
      <c r="G79">
        <v>121.1</v>
      </c>
      <c r="H79">
        <v>125.7</v>
      </c>
      <c r="I79">
        <v>109.1</v>
      </c>
      <c r="J79">
        <v>125.8</v>
      </c>
      <c r="K79">
        <v>129.4</v>
      </c>
      <c r="L79">
        <v>120.9</v>
      </c>
      <c r="M79">
        <v>98.3</v>
      </c>
      <c r="N79">
        <v>121.6</v>
      </c>
      <c r="O79">
        <v>118</v>
      </c>
      <c r="P79">
        <v>127.6</v>
      </c>
      <c r="Q79">
        <v>123.1</v>
      </c>
      <c r="R79">
        <v>125.2</v>
      </c>
      <c r="S79">
        <v>123.8</v>
      </c>
      <c r="T79">
        <v>120.1</v>
      </c>
      <c r="U79">
        <v>123.3</v>
      </c>
      <c r="V79">
        <v>118.1</v>
      </c>
      <c r="W79">
        <v>118.1</v>
      </c>
      <c r="X79">
        <v>117.7</v>
      </c>
      <c r="Y79">
        <v>118.7</v>
      </c>
      <c r="Z79">
        <v>116.3</v>
      </c>
      <c r="AA79">
        <v>108.7</v>
      </c>
      <c r="AB79">
        <v>114.9</v>
      </c>
      <c r="AC79">
        <v>119.7</v>
      </c>
      <c r="AD79">
        <v>111.2</v>
      </c>
      <c r="AE79">
        <v>114.1</v>
      </c>
      <c r="AF79">
        <v>119.7</v>
      </c>
      <c r="AG79">
        <v>1569.3999999999996</v>
      </c>
      <c r="AH79">
        <v>125.2</v>
      </c>
      <c r="AI79">
        <v>243.89999999999998</v>
      </c>
      <c r="AJ79">
        <v>579.79999999999995</v>
      </c>
      <c r="AK79">
        <v>116.3</v>
      </c>
      <c r="AL79">
        <v>108.7</v>
      </c>
      <c r="AM79">
        <v>114.9</v>
      </c>
      <c r="AN79">
        <v>119.7</v>
      </c>
    </row>
    <row r="80" spans="1:40" x14ac:dyDescent="0.25">
      <c r="A80" t="s">
        <v>30</v>
      </c>
      <c r="B80">
        <v>2015</v>
      </c>
      <c r="C80" t="s">
        <v>35</v>
      </c>
      <c r="D80" t="s">
        <v>142</v>
      </c>
      <c r="E80">
        <v>123.3</v>
      </c>
      <c r="F80">
        <v>124.7</v>
      </c>
      <c r="G80">
        <v>118.9</v>
      </c>
      <c r="H80">
        <v>126</v>
      </c>
      <c r="I80">
        <v>111.8</v>
      </c>
      <c r="J80">
        <v>130.9</v>
      </c>
      <c r="K80">
        <v>128</v>
      </c>
      <c r="L80">
        <v>119.9</v>
      </c>
      <c r="M80">
        <v>98.9</v>
      </c>
      <c r="N80">
        <v>119.4</v>
      </c>
      <c r="O80">
        <v>118.9</v>
      </c>
      <c r="P80">
        <v>127.7</v>
      </c>
      <c r="Q80">
        <v>123.1</v>
      </c>
      <c r="R80">
        <v>124.7</v>
      </c>
      <c r="S80">
        <v>126</v>
      </c>
      <c r="T80">
        <v>122.9</v>
      </c>
      <c r="U80">
        <v>125.5</v>
      </c>
      <c r="V80" t="s">
        <v>47</v>
      </c>
      <c r="W80">
        <v>118.6</v>
      </c>
      <c r="X80">
        <v>120.6</v>
      </c>
      <c r="Y80">
        <v>120.2</v>
      </c>
      <c r="Z80">
        <v>118.2</v>
      </c>
      <c r="AA80">
        <v>111.6</v>
      </c>
      <c r="AB80">
        <v>115.5</v>
      </c>
      <c r="AC80">
        <v>119.4</v>
      </c>
      <c r="AD80">
        <v>110.8</v>
      </c>
      <c r="AE80">
        <v>115.5</v>
      </c>
      <c r="AF80">
        <v>121.1</v>
      </c>
      <c r="AG80">
        <v>1571.5</v>
      </c>
      <c r="AH80">
        <v>124.7</v>
      </c>
      <c r="AI80">
        <v>248.9</v>
      </c>
      <c r="AJ80">
        <v>585.70000000000005</v>
      </c>
      <c r="AK80">
        <v>118.2</v>
      </c>
      <c r="AL80">
        <v>111.6</v>
      </c>
      <c r="AM80">
        <v>115.5</v>
      </c>
      <c r="AN80">
        <v>119.4</v>
      </c>
    </row>
    <row r="81" spans="1:40" x14ac:dyDescent="0.25">
      <c r="A81" t="s">
        <v>32</v>
      </c>
      <c r="B81">
        <v>2015</v>
      </c>
      <c r="C81" t="s">
        <v>35</v>
      </c>
      <c r="D81" t="s">
        <v>142</v>
      </c>
      <c r="E81">
        <v>124</v>
      </c>
      <c r="F81">
        <v>126.7</v>
      </c>
      <c r="G81">
        <v>113.5</v>
      </c>
      <c r="H81">
        <v>125.9</v>
      </c>
      <c r="I81">
        <v>104.8</v>
      </c>
      <c r="J81">
        <v>123.8</v>
      </c>
      <c r="K81">
        <v>131.4</v>
      </c>
      <c r="L81">
        <v>127.2</v>
      </c>
      <c r="M81">
        <v>93.2</v>
      </c>
      <c r="N81">
        <v>127.4</v>
      </c>
      <c r="O81">
        <v>117</v>
      </c>
      <c r="P81">
        <v>129.19999999999999</v>
      </c>
      <c r="Q81">
        <v>123.9</v>
      </c>
      <c r="R81">
        <v>128.80000000000001</v>
      </c>
      <c r="S81">
        <v>121.7</v>
      </c>
      <c r="T81">
        <v>116.9</v>
      </c>
      <c r="U81">
        <v>120.9</v>
      </c>
      <c r="V81">
        <v>118.6</v>
      </c>
      <c r="W81">
        <v>118.6</v>
      </c>
      <c r="X81">
        <v>114.4</v>
      </c>
      <c r="Y81">
        <v>118</v>
      </c>
      <c r="Z81">
        <v>114.3</v>
      </c>
      <c r="AA81">
        <v>108.4</v>
      </c>
      <c r="AB81">
        <v>115.4</v>
      </c>
      <c r="AC81">
        <v>120.6</v>
      </c>
      <c r="AD81">
        <v>111.3</v>
      </c>
      <c r="AE81">
        <v>113.8</v>
      </c>
      <c r="AF81">
        <v>119.1</v>
      </c>
      <c r="AG81">
        <v>1568.0000000000002</v>
      </c>
      <c r="AH81">
        <v>128.80000000000001</v>
      </c>
      <c r="AI81">
        <v>238.60000000000002</v>
      </c>
      <c r="AJ81">
        <v>576.1</v>
      </c>
      <c r="AK81">
        <v>114.3</v>
      </c>
      <c r="AL81">
        <v>108.4</v>
      </c>
      <c r="AM81">
        <v>115.4</v>
      </c>
      <c r="AN81">
        <v>120.6</v>
      </c>
    </row>
    <row r="82" spans="1:40" x14ac:dyDescent="0.25">
      <c r="A82" t="s">
        <v>33</v>
      </c>
      <c r="B82">
        <v>2015</v>
      </c>
      <c r="C82" t="s">
        <v>35</v>
      </c>
      <c r="D82" t="s">
        <v>142</v>
      </c>
      <c r="E82">
        <v>123.5</v>
      </c>
      <c r="F82">
        <v>125.4</v>
      </c>
      <c r="G82">
        <v>116.8</v>
      </c>
      <c r="H82">
        <v>126</v>
      </c>
      <c r="I82">
        <v>109.2</v>
      </c>
      <c r="J82">
        <v>127.6</v>
      </c>
      <c r="K82">
        <v>129.19999999999999</v>
      </c>
      <c r="L82">
        <v>122.4</v>
      </c>
      <c r="M82">
        <v>97</v>
      </c>
      <c r="N82">
        <v>122.1</v>
      </c>
      <c r="O82">
        <v>118.1</v>
      </c>
      <c r="P82">
        <v>128.4</v>
      </c>
      <c r="Q82">
        <v>123.4</v>
      </c>
      <c r="R82">
        <v>125.8</v>
      </c>
      <c r="S82">
        <v>124.3</v>
      </c>
      <c r="T82">
        <v>120.4</v>
      </c>
      <c r="U82">
        <v>123.7</v>
      </c>
      <c r="V82">
        <v>118.6</v>
      </c>
      <c r="W82">
        <v>118.6</v>
      </c>
      <c r="X82">
        <v>118.3</v>
      </c>
      <c r="Y82">
        <v>119.2</v>
      </c>
      <c r="Z82">
        <v>116.7</v>
      </c>
      <c r="AA82">
        <v>109.9</v>
      </c>
      <c r="AB82">
        <v>115.4</v>
      </c>
      <c r="AC82">
        <v>120.1</v>
      </c>
      <c r="AD82">
        <v>111</v>
      </c>
      <c r="AE82">
        <v>114.7</v>
      </c>
      <c r="AF82">
        <v>120.2</v>
      </c>
      <c r="AG82">
        <v>1569.1</v>
      </c>
      <c r="AH82">
        <v>125.8</v>
      </c>
      <c r="AI82">
        <v>244.7</v>
      </c>
      <c r="AJ82">
        <v>581.79999999999995</v>
      </c>
      <c r="AK82">
        <v>116.7</v>
      </c>
      <c r="AL82">
        <v>109.9</v>
      </c>
      <c r="AM82">
        <v>115.4</v>
      </c>
      <c r="AN82">
        <v>120.1</v>
      </c>
    </row>
    <row r="83" spans="1:40" x14ac:dyDescent="0.25">
      <c r="A83" t="s">
        <v>30</v>
      </c>
      <c r="B83">
        <v>2015</v>
      </c>
      <c r="C83" t="s">
        <v>36</v>
      </c>
      <c r="D83" t="s">
        <v>135</v>
      </c>
      <c r="E83">
        <v>123.3</v>
      </c>
      <c r="F83">
        <v>125.5</v>
      </c>
      <c r="G83">
        <v>117.2</v>
      </c>
      <c r="H83">
        <v>126.8</v>
      </c>
      <c r="I83">
        <v>111.9</v>
      </c>
      <c r="J83">
        <v>134.19999999999999</v>
      </c>
      <c r="K83">
        <v>127.5</v>
      </c>
      <c r="L83">
        <v>121.5</v>
      </c>
      <c r="M83">
        <v>97.8</v>
      </c>
      <c r="N83">
        <v>119.8</v>
      </c>
      <c r="O83">
        <v>119.4</v>
      </c>
      <c r="P83">
        <v>128.69999999999999</v>
      </c>
      <c r="Q83">
        <v>123.6</v>
      </c>
      <c r="R83">
        <v>125.7</v>
      </c>
      <c r="S83">
        <v>126.4</v>
      </c>
      <c r="T83">
        <v>123.3</v>
      </c>
      <c r="U83">
        <v>126</v>
      </c>
      <c r="V83" t="s">
        <v>47</v>
      </c>
      <c r="W83">
        <v>119.2</v>
      </c>
      <c r="X83">
        <v>121.2</v>
      </c>
      <c r="Y83">
        <v>120.9</v>
      </c>
      <c r="Z83">
        <v>118.6</v>
      </c>
      <c r="AA83">
        <v>111.9</v>
      </c>
      <c r="AB83">
        <v>116.2</v>
      </c>
      <c r="AC83">
        <v>119.9</v>
      </c>
      <c r="AD83">
        <v>111.6</v>
      </c>
      <c r="AE83">
        <v>116</v>
      </c>
      <c r="AF83">
        <v>121.5</v>
      </c>
      <c r="AG83">
        <v>1577.2</v>
      </c>
      <c r="AH83">
        <v>125.7</v>
      </c>
      <c r="AI83">
        <v>249.7</v>
      </c>
      <c r="AJ83">
        <v>588.9</v>
      </c>
      <c r="AK83">
        <v>118.6</v>
      </c>
      <c r="AL83">
        <v>111.9</v>
      </c>
      <c r="AM83">
        <v>116.2</v>
      </c>
      <c r="AN83">
        <v>119.9</v>
      </c>
    </row>
    <row r="84" spans="1:40" x14ac:dyDescent="0.25">
      <c r="A84" t="s">
        <v>32</v>
      </c>
      <c r="B84">
        <v>2015</v>
      </c>
      <c r="C84" t="s">
        <v>36</v>
      </c>
      <c r="D84" t="s">
        <v>135</v>
      </c>
      <c r="E84">
        <v>123.8</v>
      </c>
      <c r="F84">
        <v>128.19999999999999</v>
      </c>
      <c r="G84">
        <v>110</v>
      </c>
      <c r="H84">
        <v>126.3</v>
      </c>
      <c r="I84">
        <v>104.5</v>
      </c>
      <c r="J84">
        <v>130.6</v>
      </c>
      <c r="K84">
        <v>130.80000000000001</v>
      </c>
      <c r="L84">
        <v>131.30000000000001</v>
      </c>
      <c r="M84">
        <v>91.6</v>
      </c>
      <c r="N84">
        <v>127.7</v>
      </c>
      <c r="O84">
        <v>117.2</v>
      </c>
      <c r="P84">
        <v>129.5</v>
      </c>
      <c r="Q84">
        <v>124.6</v>
      </c>
      <c r="R84">
        <v>130.1</v>
      </c>
      <c r="S84">
        <v>122.1</v>
      </c>
      <c r="T84">
        <v>117.2</v>
      </c>
      <c r="U84">
        <v>121.3</v>
      </c>
      <c r="V84">
        <v>119.2</v>
      </c>
      <c r="W84">
        <v>119.2</v>
      </c>
      <c r="X84">
        <v>114.7</v>
      </c>
      <c r="Y84">
        <v>118.4</v>
      </c>
      <c r="Z84">
        <v>114.6</v>
      </c>
      <c r="AA84">
        <v>108.4</v>
      </c>
      <c r="AB84">
        <v>115.6</v>
      </c>
      <c r="AC84">
        <v>121.7</v>
      </c>
      <c r="AD84">
        <v>111.8</v>
      </c>
      <c r="AE84">
        <v>114.2</v>
      </c>
      <c r="AF84">
        <v>119.7</v>
      </c>
      <c r="AG84">
        <v>1576.1</v>
      </c>
      <c r="AH84">
        <v>130.1</v>
      </c>
      <c r="AI84">
        <v>239.3</v>
      </c>
      <c r="AJ84">
        <v>578.30000000000007</v>
      </c>
      <c r="AK84">
        <v>114.6</v>
      </c>
      <c r="AL84">
        <v>108.4</v>
      </c>
      <c r="AM84">
        <v>115.6</v>
      </c>
      <c r="AN84">
        <v>121.7</v>
      </c>
    </row>
    <row r="85" spans="1:40" x14ac:dyDescent="0.25">
      <c r="A85" t="s">
        <v>33</v>
      </c>
      <c r="B85">
        <v>2015</v>
      </c>
      <c r="C85" t="s">
        <v>36</v>
      </c>
      <c r="D85" t="s">
        <v>135</v>
      </c>
      <c r="E85">
        <v>123.5</v>
      </c>
      <c r="F85">
        <v>126.4</v>
      </c>
      <c r="G85">
        <v>114.4</v>
      </c>
      <c r="H85">
        <v>126.6</v>
      </c>
      <c r="I85">
        <v>109.2</v>
      </c>
      <c r="J85">
        <v>132.5</v>
      </c>
      <c r="K85">
        <v>128.6</v>
      </c>
      <c r="L85">
        <v>124.8</v>
      </c>
      <c r="M85">
        <v>95.7</v>
      </c>
      <c r="N85">
        <v>122.4</v>
      </c>
      <c r="O85">
        <v>118.5</v>
      </c>
      <c r="P85">
        <v>129.1</v>
      </c>
      <c r="Q85">
        <v>124</v>
      </c>
      <c r="R85">
        <v>126.9</v>
      </c>
      <c r="S85">
        <v>124.7</v>
      </c>
      <c r="T85">
        <v>120.8</v>
      </c>
      <c r="U85">
        <v>124.1</v>
      </c>
      <c r="V85">
        <v>119.2</v>
      </c>
      <c r="W85">
        <v>119.2</v>
      </c>
      <c r="X85">
        <v>118.7</v>
      </c>
      <c r="Y85">
        <v>119.7</v>
      </c>
      <c r="Z85">
        <v>117.1</v>
      </c>
      <c r="AA85">
        <v>110.1</v>
      </c>
      <c r="AB85">
        <v>115.9</v>
      </c>
      <c r="AC85">
        <v>121</v>
      </c>
      <c r="AD85">
        <v>111.7</v>
      </c>
      <c r="AE85">
        <v>115.1</v>
      </c>
      <c r="AF85">
        <v>120.7</v>
      </c>
      <c r="AG85">
        <v>1575.7</v>
      </c>
      <c r="AH85">
        <v>126.9</v>
      </c>
      <c r="AI85">
        <v>245.5</v>
      </c>
      <c r="AJ85">
        <v>584.4</v>
      </c>
      <c r="AK85">
        <v>117.1</v>
      </c>
      <c r="AL85">
        <v>110.1</v>
      </c>
      <c r="AM85">
        <v>115.9</v>
      </c>
      <c r="AN85">
        <v>121</v>
      </c>
    </row>
    <row r="86" spans="1:40" x14ac:dyDescent="0.25">
      <c r="A86" t="s">
        <v>30</v>
      </c>
      <c r="B86">
        <v>2015</v>
      </c>
      <c r="C86" t="s">
        <v>37</v>
      </c>
      <c r="D86" t="s">
        <v>143</v>
      </c>
      <c r="E86">
        <v>123.5</v>
      </c>
      <c r="F86">
        <v>127.1</v>
      </c>
      <c r="G86">
        <v>117.3</v>
      </c>
      <c r="H86">
        <v>127.7</v>
      </c>
      <c r="I86">
        <v>112.5</v>
      </c>
      <c r="J86">
        <v>134.1</v>
      </c>
      <c r="K86">
        <v>128.5</v>
      </c>
      <c r="L86">
        <v>124.3</v>
      </c>
      <c r="M86">
        <v>97.6</v>
      </c>
      <c r="N86">
        <v>120.7</v>
      </c>
      <c r="O86">
        <v>120.2</v>
      </c>
      <c r="P86">
        <v>129.80000000000001</v>
      </c>
      <c r="Q86">
        <v>124.4</v>
      </c>
      <c r="R86">
        <v>126.7</v>
      </c>
      <c r="S86">
        <v>127.3</v>
      </c>
      <c r="T86">
        <v>124.1</v>
      </c>
      <c r="U86">
        <v>126.8</v>
      </c>
      <c r="V86" t="s">
        <v>47</v>
      </c>
      <c r="W86">
        <v>119.6</v>
      </c>
      <c r="X86">
        <v>121.9</v>
      </c>
      <c r="Y86">
        <v>121.5</v>
      </c>
      <c r="Z86">
        <v>119.4</v>
      </c>
      <c r="AA86">
        <v>113.3</v>
      </c>
      <c r="AB86">
        <v>116.7</v>
      </c>
      <c r="AC86">
        <v>120.5</v>
      </c>
      <c r="AD86">
        <v>112.3</v>
      </c>
      <c r="AE86">
        <v>116.9</v>
      </c>
      <c r="AF86">
        <v>122.4</v>
      </c>
      <c r="AG86">
        <v>1587.7</v>
      </c>
      <c r="AH86">
        <v>126.7</v>
      </c>
      <c r="AI86">
        <v>251.39999999999998</v>
      </c>
      <c r="AJ86">
        <v>592.20000000000005</v>
      </c>
      <c r="AK86">
        <v>119.4</v>
      </c>
      <c r="AL86">
        <v>113.3</v>
      </c>
      <c r="AM86">
        <v>116.7</v>
      </c>
      <c r="AN86">
        <v>120.5</v>
      </c>
    </row>
    <row r="87" spans="1:40" x14ac:dyDescent="0.25">
      <c r="A87" t="s">
        <v>32</v>
      </c>
      <c r="B87">
        <v>2015</v>
      </c>
      <c r="C87" t="s">
        <v>37</v>
      </c>
      <c r="D87" t="s">
        <v>143</v>
      </c>
      <c r="E87">
        <v>123.8</v>
      </c>
      <c r="F87">
        <v>129.69999999999999</v>
      </c>
      <c r="G87">
        <v>111.3</v>
      </c>
      <c r="H87">
        <v>126.6</v>
      </c>
      <c r="I87">
        <v>105.2</v>
      </c>
      <c r="J87">
        <v>130.80000000000001</v>
      </c>
      <c r="K87">
        <v>135.6</v>
      </c>
      <c r="L87">
        <v>142.6</v>
      </c>
      <c r="M87">
        <v>90.8</v>
      </c>
      <c r="N87">
        <v>128.80000000000001</v>
      </c>
      <c r="O87">
        <v>117.7</v>
      </c>
      <c r="P87">
        <v>129.9</v>
      </c>
      <c r="Q87">
        <v>126.1</v>
      </c>
      <c r="R87">
        <v>131.30000000000001</v>
      </c>
      <c r="S87">
        <v>122.4</v>
      </c>
      <c r="T87">
        <v>117.4</v>
      </c>
      <c r="U87">
        <v>121.6</v>
      </c>
      <c r="V87">
        <v>119.6</v>
      </c>
      <c r="W87">
        <v>119.6</v>
      </c>
      <c r="X87">
        <v>114.9</v>
      </c>
      <c r="Y87">
        <v>118.7</v>
      </c>
      <c r="Z87">
        <v>114.9</v>
      </c>
      <c r="AA87">
        <v>110.8</v>
      </c>
      <c r="AB87">
        <v>116</v>
      </c>
      <c r="AC87">
        <v>122</v>
      </c>
      <c r="AD87">
        <v>112.4</v>
      </c>
      <c r="AE87">
        <v>115.2</v>
      </c>
      <c r="AF87">
        <v>120.7</v>
      </c>
      <c r="AG87">
        <v>1598.9</v>
      </c>
      <c r="AH87">
        <v>131.30000000000001</v>
      </c>
      <c r="AI87">
        <v>239.8</v>
      </c>
      <c r="AJ87">
        <v>580.80000000000007</v>
      </c>
      <c r="AK87">
        <v>114.9</v>
      </c>
      <c r="AL87">
        <v>110.8</v>
      </c>
      <c r="AM87">
        <v>116</v>
      </c>
      <c r="AN87">
        <v>122</v>
      </c>
    </row>
    <row r="88" spans="1:40" x14ac:dyDescent="0.25">
      <c r="A88" t="s">
        <v>33</v>
      </c>
      <c r="B88">
        <v>2015</v>
      </c>
      <c r="C88" t="s">
        <v>37</v>
      </c>
      <c r="D88" t="s">
        <v>143</v>
      </c>
      <c r="E88">
        <v>123.6</v>
      </c>
      <c r="F88">
        <v>128</v>
      </c>
      <c r="G88">
        <v>115</v>
      </c>
      <c r="H88">
        <v>127.3</v>
      </c>
      <c r="I88">
        <v>109.8</v>
      </c>
      <c r="J88">
        <v>132.6</v>
      </c>
      <c r="K88">
        <v>130.9</v>
      </c>
      <c r="L88">
        <v>130.5</v>
      </c>
      <c r="M88">
        <v>95.3</v>
      </c>
      <c r="N88">
        <v>123.4</v>
      </c>
      <c r="O88">
        <v>119.2</v>
      </c>
      <c r="P88">
        <v>129.80000000000001</v>
      </c>
      <c r="Q88">
        <v>125</v>
      </c>
      <c r="R88">
        <v>127.9</v>
      </c>
      <c r="S88">
        <v>125.4</v>
      </c>
      <c r="T88">
        <v>121.3</v>
      </c>
      <c r="U88">
        <v>124.7</v>
      </c>
      <c r="V88">
        <v>119.6</v>
      </c>
      <c r="W88">
        <v>119.6</v>
      </c>
      <c r="X88">
        <v>119.2</v>
      </c>
      <c r="Y88">
        <v>120.2</v>
      </c>
      <c r="Z88">
        <v>117.7</v>
      </c>
      <c r="AA88">
        <v>112</v>
      </c>
      <c r="AB88">
        <v>116.3</v>
      </c>
      <c r="AC88">
        <v>121.4</v>
      </c>
      <c r="AD88">
        <v>112.3</v>
      </c>
      <c r="AE88">
        <v>116.1</v>
      </c>
      <c r="AF88">
        <v>121.6</v>
      </c>
      <c r="AG88">
        <v>1590.4</v>
      </c>
      <c r="AH88">
        <v>127.9</v>
      </c>
      <c r="AI88">
        <v>246.7</v>
      </c>
      <c r="AJ88">
        <v>587.4</v>
      </c>
      <c r="AK88">
        <v>117.7</v>
      </c>
      <c r="AL88">
        <v>112</v>
      </c>
      <c r="AM88">
        <v>116.3</v>
      </c>
      <c r="AN88">
        <v>121.4</v>
      </c>
    </row>
    <row r="89" spans="1:40" x14ac:dyDescent="0.25">
      <c r="A89" t="s">
        <v>30</v>
      </c>
      <c r="B89">
        <v>2015</v>
      </c>
      <c r="C89" t="s">
        <v>38</v>
      </c>
      <c r="D89" t="s">
        <v>141</v>
      </c>
      <c r="E89">
        <v>124.1</v>
      </c>
      <c r="F89">
        <v>130.4</v>
      </c>
      <c r="G89">
        <v>122.1</v>
      </c>
      <c r="H89">
        <v>128.69999999999999</v>
      </c>
      <c r="I89">
        <v>114.1</v>
      </c>
      <c r="J89">
        <v>133.19999999999999</v>
      </c>
      <c r="K89">
        <v>135.19999999999999</v>
      </c>
      <c r="L89">
        <v>131.9</v>
      </c>
      <c r="M89">
        <v>96.3</v>
      </c>
      <c r="N89">
        <v>123</v>
      </c>
      <c r="O89">
        <v>121.1</v>
      </c>
      <c r="P89">
        <v>131.19999999999999</v>
      </c>
      <c r="Q89">
        <v>126.6</v>
      </c>
      <c r="R89">
        <v>128.19999999999999</v>
      </c>
      <c r="S89">
        <v>128.4</v>
      </c>
      <c r="T89">
        <v>125.1</v>
      </c>
      <c r="U89">
        <v>128</v>
      </c>
      <c r="V89" t="s">
        <v>47</v>
      </c>
      <c r="W89">
        <v>119</v>
      </c>
      <c r="X89">
        <v>122.6</v>
      </c>
      <c r="Y89">
        <v>122.8</v>
      </c>
      <c r="Z89">
        <v>120.4</v>
      </c>
      <c r="AA89">
        <v>114.2</v>
      </c>
      <c r="AB89">
        <v>117.9</v>
      </c>
      <c r="AC89">
        <v>122</v>
      </c>
      <c r="AD89">
        <v>113</v>
      </c>
      <c r="AE89">
        <v>117.9</v>
      </c>
      <c r="AF89">
        <v>124.1</v>
      </c>
      <c r="AG89">
        <v>1617.8999999999999</v>
      </c>
      <c r="AH89">
        <v>128.19999999999999</v>
      </c>
      <c r="AI89">
        <v>253.5</v>
      </c>
      <c r="AJ89">
        <v>595.29999999999995</v>
      </c>
      <c r="AK89">
        <v>120.4</v>
      </c>
      <c r="AL89">
        <v>114.2</v>
      </c>
      <c r="AM89">
        <v>117.9</v>
      </c>
      <c r="AN89">
        <v>122</v>
      </c>
    </row>
    <row r="90" spans="1:40" x14ac:dyDescent="0.25">
      <c r="A90" t="s">
        <v>32</v>
      </c>
      <c r="B90">
        <v>2015</v>
      </c>
      <c r="C90" t="s">
        <v>38</v>
      </c>
      <c r="D90" t="s">
        <v>141</v>
      </c>
      <c r="E90">
        <v>123.6</v>
      </c>
      <c r="F90">
        <v>134.4</v>
      </c>
      <c r="G90">
        <v>120.9</v>
      </c>
      <c r="H90">
        <v>127.3</v>
      </c>
      <c r="I90">
        <v>106</v>
      </c>
      <c r="J90">
        <v>132.30000000000001</v>
      </c>
      <c r="K90">
        <v>146.69999999999999</v>
      </c>
      <c r="L90">
        <v>148.1</v>
      </c>
      <c r="M90">
        <v>89.8</v>
      </c>
      <c r="N90">
        <v>130.5</v>
      </c>
      <c r="O90">
        <v>118</v>
      </c>
      <c r="P90">
        <v>130.5</v>
      </c>
      <c r="Q90">
        <v>128.5</v>
      </c>
      <c r="R90">
        <v>132.1</v>
      </c>
      <c r="S90">
        <v>123.2</v>
      </c>
      <c r="T90">
        <v>117.6</v>
      </c>
      <c r="U90">
        <v>122.3</v>
      </c>
      <c r="V90">
        <v>119</v>
      </c>
      <c r="W90">
        <v>119</v>
      </c>
      <c r="X90">
        <v>115.1</v>
      </c>
      <c r="Y90">
        <v>119.2</v>
      </c>
      <c r="Z90">
        <v>115.4</v>
      </c>
      <c r="AA90">
        <v>111.7</v>
      </c>
      <c r="AB90">
        <v>116.2</v>
      </c>
      <c r="AC90">
        <v>123.8</v>
      </c>
      <c r="AD90">
        <v>112.5</v>
      </c>
      <c r="AE90">
        <v>116</v>
      </c>
      <c r="AF90">
        <v>121.7</v>
      </c>
      <c r="AG90">
        <v>1636.6</v>
      </c>
      <c r="AH90">
        <v>132.1</v>
      </c>
      <c r="AI90">
        <v>240.8</v>
      </c>
      <c r="AJ90">
        <v>581.79999999999995</v>
      </c>
      <c r="AK90">
        <v>115.4</v>
      </c>
      <c r="AL90">
        <v>111.7</v>
      </c>
      <c r="AM90">
        <v>116.2</v>
      </c>
      <c r="AN90">
        <v>123.8</v>
      </c>
    </row>
    <row r="91" spans="1:40" x14ac:dyDescent="0.25">
      <c r="A91" t="s">
        <v>33</v>
      </c>
      <c r="B91">
        <v>2015</v>
      </c>
      <c r="C91" t="s">
        <v>38</v>
      </c>
      <c r="D91" t="s">
        <v>141</v>
      </c>
      <c r="E91">
        <v>123.9</v>
      </c>
      <c r="F91">
        <v>131.80000000000001</v>
      </c>
      <c r="G91">
        <v>121.6</v>
      </c>
      <c r="H91">
        <v>128.19999999999999</v>
      </c>
      <c r="I91">
        <v>111.1</v>
      </c>
      <c r="J91">
        <v>132.80000000000001</v>
      </c>
      <c r="K91">
        <v>139.1</v>
      </c>
      <c r="L91">
        <v>137.4</v>
      </c>
      <c r="M91">
        <v>94.1</v>
      </c>
      <c r="N91">
        <v>125.5</v>
      </c>
      <c r="O91">
        <v>119.8</v>
      </c>
      <c r="P91">
        <v>130.9</v>
      </c>
      <c r="Q91">
        <v>127.3</v>
      </c>
      <c r="R91">
        <v>129.19999999999999</v>
      </c>
      <c r="S91">
        <v>126.4</v>
      </c>
      <c r="T91">
        <v>122</v>
      </c>
      <c r="U91">
        <v>125.7</v>
      </c>
      <c r="V91">
        <v>119</v>
      </c>
      <c r="W91">
        <v>119</v>
      </c>
      <c r="X91">
        <v>119.8</v>
      </c>
      <c r="Y91">
        <v>121.1</v>
      </c>
      <c r="Z91">
        <v>118.5</v>
      </c>
      <c r="AA91">
        <v>112.9</v>
      </c>
      <c r="AB91">
        <v>116.9</v>
      </c>
      <c r="AC91">
        <v>123.1</v>
      </c>
      <c r="AD91">
        <v>112.8</v>
      </c>
      <c r="AE91">
        <v>117</v>
      </c>
      <c r="AF91">
        <v>123</v>
      </c>
      <c r="AG91">
        <v>1623.5</v>
      </c>
      <c r="AH91">
        <v>129.19999999999999</v>
      </c>
      <c r="AI91">
        <v>248.4</v>
      </c>
      <c r="AJ91">
        <v>589.70000000000005</v>
      </c>
      <c r="AK91">
        <v>118.5</v>
      </c>
      <c r="AL91">
        <v>112.9</v>
      </c>
      <c r="AM91">
        <v>116.9</v>
      </c>
      <c r="AN91">
        <v>123.1</v>
      </c>
    </row>
    <row r="92" spans="1:40" x14ac:dyDescent="0.25">
      <c r="A92" t="s">
        <v>30</v>
      </c>
      <c r="B92">
        <v>2015</v>
      </c>
      <c r="C92" t="s">
        <v>39</v>
      </c>
      <c r="D92" t="s">
        <v>140</v>
      </c>
      <c r="E92">
        <v>124</v>
      </c>
      <c r="F92">
        <v>131.5</v>
      </c>
      <c r="G92">
        <v>122</v>
      </c>
      <c r="H92">
        <v>128.69999999999999</v>
      </c>
      <c r="I92">
        <v>113.5</v>
      </c>
      <c r="J92">
        <v>133.30000000000001</v>
      </c>
      <c r="K92">
        <v>140.80000000000001</v>
      </c>
      <c r="L92">
        <v>133.80000000000001</v>
      </c>
      <c r="M92">
        <v>94.1</v>
      </c>
      <c r="N92">
        <v>123.4</v>
      </c>
      <c r="O92">
        <v>121</v>
      </c>
      <c r="P92">
        <v>131.69999999999999</v>
      </c>
      <c r="Q92">
        <v>127.5</v>
      </c>
      <c r="R92">
        <v>129.4</v>
      </c>
      <c r="S92">
        <v>128.80000000000001</v>
      </c>
      <c r="T92">
        <v>125.5</v>
      </c>
      <c r="U92">
        <v>128.30000000000001</v>
      </c>
      <c r="V92" t="s">
        <v>47</v>
      </c>
      <c r="W92">
        <v>119.9</v>
      </c>
      <c r="X92">
        <v>123</v>
      </c>
      <c r="Y92">
        <v>123</v>
      </c>
      <c r="Z92">
        <v>120.8</v>
      </c>
      <c r="AA92">
        <v>114.1</v>
      </c>
      <c r="AB92">
        <v>118</v>
      </c>
      <c r="AC92">
        <v>122.9</v>
      </c>
      <c r="AD92">
        <v>112.7</v>
      </c>
      <c r="AE92">
        <v>118.1</v>
      </c>
      <c r="AF92">
        <v>124.7</v>
      </c>
      <c r="AG92">
        <v>1625.3</v>
      </c>
      <c r="AH92">
        <v>129.4</v>
      </c>
      <c r="AI92">
        <v>254.3</v>
      </c>
      <c r="AJ92">
        <v>596.69999999999993</v>
      </c>
      <c r="AK92">
        <v>120.8</v>
      </c>
      <c r="AL92">
        <v>114.1</v>
      </c>
      <c r="AM92">
        <v>118</v>
      </c>
      <c r="AN92">
        <v>122.9</v>
      </c>
    </row>
    <row r="93" spans="1:40" x14ac:dyDescent="0.25">
      <c r="A93" t="s">
        <v>32</v>
      </c>
      <c r="B93">
        <v>2015</v>
      </c>
      <c r="C93" t="s">
        <v>39</v>
      </c>
      <c r="D93" t="s">
        <v>140</v>
      </c>
      <c r="E93">
        <v>123.2</v>
      </c>
      <c r="F93">
        <v>134.30000000000001</v>
      </c>
      <c r="G93">
        <v>119.5</v>
      </c>
      <c r="H93">
        <v>127.7</v>
      </c>
      <c r="I93">
        <v>106.3</v>
      </c>
      <c r="J93">
        <v>132.80000000000001</v>
      </c>
      <c r="K93">
        <v>153.5</v>
      </c>
      <c r="L93">
        <v>149.5</v>
      </c>
      <c r="M93">
        <v>85.7</v>
      </c>
      <c r="N93">
        <v>131.5</v>
      </c>
      <c r="O93">
        <v>118.3</v>
      </c>
      <c r="P93">
        <v>131.1</v>
      </c>
      <c r="Q93">
        <v>129.5</v>
      </c>
      <c r="R93">
        <v>133.1</v>
      </c>
      <c r="S93">
        <v>123.5</v>
      </c>
      <c r="T93">
        <v>117.9</v>
      </c>
      <c r="U93">
        <v>122.7</v>
      </c>
      <c r="V93">
        <v>119.9</v>
      </c>
      <c r="W93">
        <v>119.9</v>
      </c>
      <c r="X93">
        <v>115.3</v>
      </c>
      <c r="Y93">
        <v>119.5</v>
      </c>
      <c r="Z93">
        <v>116</v>
      </c>
      <c r="AA93">
        <v>111.5</v>
      </c>
      <c r="AB93">
        <v>116.6</v>
      </c>
      <c r="AC93">
        <v>125.4</v>
      </c>
      <c r="AD93">
        <v>111.7</v>
      </c>
      <c r="AE93">
        <v>116.3</v>
      </c>
      <c r="AF93">
        <v>122.4</v>
      </c>
      <c r="AG93">
        <v>1642.8999999999999</v>
      </c>
      <c r="AH93">
        <v>133.1</v>
      </c>
      <c r="AI93">
        <v>241.4</v>
      </c>
      <c r="AJ93">
        <v>582.69999999999993</v>
      </c>
      <c r="AK93">
        <v>116</v>
      </c>
      <c r="AL93">
        <v>111.5</v>
      </c>
      <c r="AM93">
        <v>116.6</v>
      </c>
      <c r="AN93">
        <v>125.4</v>
      </c>
    </row>
    <row r="94" spans="1:40" x14ac:dyDescent="0.25">
      <c r="A94" t="s">
        <v>33</v>
      </c>
      <c r="B94">
        <v>2015</v>
      </c>
      <c r="C94" t="s">
        <v>39</v>
      </c>
      <c r="D94" t="s">
        <v>140</v>
      </c>
      <c r="E94">
        <v>123.7</v>
      </c>
      <c r="F94">
        <v>132.5</v>
      </c>
      <c r="G94">
        <v>121</v>
      </c>
      <c r="H94">
        <v>128.30000000000001</v>
      </c>
      <c r="I94">
        <v>110.9</v>
      </c>
      <c r="J94">
        <v>133.1</v>
      </c>
      <c r="K94">
        <v>145.1</v>
      </c>
      <c r="L94">
        <v>139.1</v>
      </c>
      <c r="M94">
        <v>91.3</v>
      </c>
      <c r="N94">
        <v>126.1</v>
      </c>
      <c r="O94">
        <v>119.9</v>
      </c>
      <c r="P94">
        <v>131.4</v>
      </c>
      <c r="Q94">
        <v>128.19999999999999</v>
      </c>
      <c r="R94">
        <v>130.4</v>
      </c>
      <c r="S94">
        <v>126.7</v>
      </c>
      <c r="T94">
        <v>122.3</v>
      </c>
      <c r="U94">
        <v>126.1</v>
      </c>
      <c r="V94">
        <v>119.9</v>
      </c>
      <c r="W94">
        <v>119.9</v>
      </c>
      <c r="X94">
        <v>120.1</v>
      </c>
      <c r="Y94">
        <v>121.3</v>
      </c>
      <c r="Z94">
        <v>119</v>
      </c>
      <c r="AA94">
        <v>112.7</v>
      </c>
      <c r="AB94">
        <v>117.2</v>
      </c>
      <c r="AC94">
        <v>124.4</v>
      </c>
      <c r="AD94">
        <v>112.3</v>
      </c>
      <c r="AE94">
        <v>117.2</v>
      </c>
      <c r="AF94">
        <v>123.6</v>
      </c>
      <c r="AG94">
        <v>1630.6000000000001</v>
      </c>
      <c r="AH94">
        <v>130.4</v>
      </c>
      <c r="AI94">
        <v>249</v>
      </c>
      <c r="AJ94">
        <v>590.80000000000007</v>
      </c>
      <c r="AK94">
        <v>119</v>
      </c>
      <c r="AL94">
        <v>112.7</v>
      </c>
      <c r="AM94">
        <v>117.2</v>
      </c>
      <c r="AN94">
        <v>124.4</v>
      </c>
    </row>
    <row r="95" spans="1:40" x14ac:dyDescent="0.25">
      <c r="A95" t="s">
        <v>30</v>
      </c>
      <c r="B95">
        <v>2015</v>
      </c>
      <c r="C95" t="s">
        <v>40</v>
      </c>
      <c r="D95" t="s">
        <v>136</v>
      </c>
      <c r="E95">
        <v>124.7</v>
      </c>
      <c r="F95">
        <v>131.30000000000001</v>
      </c>
      <c r="G95">
        <v>121.3</v>
      </c>
      <c r="H95">
        <v>128.80000000000001</v>
      </c>
      <c r="I95">
        <v>114</v>
      </c>
      <c r="J95">
        <v>134.19999999999999</v>
      </c>
      <c r="K95">
        <v>153.6</v>
      </c>
      <c r="L95">
        <v>137.9</v>
      </c>
      <c r="M95">
        <v>93.1</v>
      </c>
      <c r="N95">
        <v>123.9</v>
      </c>
      <c r="O95">
        <v>121.5</v>
      </c>
      <c r="P95">
        <v>132.5</v>
      </c>
      <c r="Q95">
        <v>129.80000000000001</v>
      </c>
      <c r="R95">
        <v>130.1</v>
      </c>
      <c r="S95">
        <v>129.5</v>
      </c>
      <c r="T95">
        <v>126.3</v>
      </c>
      <c r="U95">
        <v>129</v>
      </c>
      <c r="V95" t="s">
        <v>47</v>
      </c>
      <c r="W95">
        <v>120.9</v>
      </c>
      <c r="X95">
        <v>123.8</v>
      </c>
      <c r="Y95">
        <v>123.7</v>
      </c>
      <c r="Z95">
        <v>121.1</v>
      </c>
      <c r="AA95">
        <v>113.6</v>
      </c>
      <c r="AB95">
        <v>118.5</v>
      </c>
      <c r="AC95">
        <v>123.6</v>
      </c>
      <c r="AD95">
        <v>112.5</v>
      </c>
      <c r="AE95">
        <v>118.2</v>
      </c>
      <c r="AF95">
        <v>126.1</v>
      </c>
      <c r="AG95">
        <v>1646.6</v>
      </c>
      <c r="AH95">
        <v>130.1</v>
      </c>
      <c r="AI95">
        <v>255.8</v>
      </c>
      <c r="AJ95">
        <v>599.1</v>
      </c>
      <c r="AK95">
        <v>121.1</v>
      </c>
      <c r="AL95">
        <v>113.6</v>
      </c>
      <c r="AM95">
        <v>118.5</v>
      </c>
      <c r="AN95">
        <v>123.6</v>
      </c>
    </row>
    <row r="96" spans="1:40" x14ac:dyDescent="0.25">
      <c r="A96" t="s">
        <v>32</v>
      </c>
      <c r="B96">
        <v>2015</v>
      </c>
      <c r="C96" t="s">
        <v>40</v>
      </c>
      <c r="D96" t="s">
        <v>136</v>
      </c>
      <c r="E96">
        <v>123.1</v>
      </c>
      <c r="F96">
        <v>131.69999999999999</v>
      </c>
      <c r="G96">
        <v>118.1</v>
      </c>
      <c r="H96">
        <v>128</v>
      </c>
      <c r="I96">
        <v>106.8</v>
      </c>
      <c r="J96">
        <v>130.1</v>
      </c>
      <c r="K96">
        <v>165.5</v>
      </c>
      <c r="L96">
        <v>156</v>
      </c>
      <c r="M96">
        <v>85.3</v>
      </c>
      <c r="N96">
        <v>132.69999999999999</v>
      </c>
      <c r="O96">
        <v>118.8</v>
      </c>
      <c r="P96">
        <v>131.69999999999999</v>
      </c>
      <c r="Q96">
        <v>131.1</v>
      </c>
      <c r="R96">
        <v>134.19999999999999</v>
      </c>
      <c r="S96">
        <v>123.7</v>
      </c>
      <c r="T96">
        <v>118.2</v>
      </c>
      <c r="U96">
        <v>122.9</v>
      </c>
      <c r="V96">
        <v>120.9</v>
      </c>
      <c r="W96">
        <v>120.9</v>
      </c>
      <c r="X96">
        <v>115.3</v>
      </c>
      <c r="Y96">
        <v>120</v>
      </c>
      <c r="Z96">
        <v>116.6</v>
      </c>
      <c r="AA96">
        <v>109.9</v>
      </c>
      <c r="AB96">
        <v>117.2</v>
      </c>
      <c r="AC96">
        <v>126.2</v>
      </c>
      <c r="AD96">
        <v>112</v>
      </c>
      <c r="AE96">
        <v>116.2</v>
      </c>
      <c r="AF96">
        <v>123.2</v>
      </c>
      <c r="AG96">
        <v>1658.8999999999999</v>
      </c>
      <c r="AH96">
        <v>134.19999999999999</v>
      </c>
      <c r="AI96">
        <v>241.9</v>
      </c>
      <c r="AJ96">
        <v>584.4</v>
      </c>
      <c r="AK96">
        <v>116.6</v>
      </c>
      <c r="AL96">
        <v>109.9</v>
      </c>
      <c r="AM96">
        <v>117.2</v>
      </c>
      <c r="AN96">
        <v>126.2</v>
      </c>
    </row>
    <row r="97" spans="1:40" x14ac:dyDescent="0.25">
      <c r="A97" t="s">
        <v>33</v>
      </c>
      <c r="B97">
        <v>2015</v>
      </c>
      <c r="C97" t="s">
        <v>40</v>
      </c>
      <c r="D97" t="s">
        <v>136</v>
      </c>
      <c r="E97">
        <v>124.2</v>
      </c>
      <c r="F97">
        <v>131.4</v>
      </c>
      <c r="G97">
        <v>120.1</v>
      </c>
      <c r="H97">
        <v>128.5</v>
      </c>
      <c r="I97">
        <v>111.4</v>
      </c>
      <c r="J97">
        <v>132.30000000000001</v>
      </c>
      <c r="K97">
        <v>157.6</v>
      </c>
      <c r="L97">
        <v>144</v>
      </c>
      <c r="M97">
        <v>90.5</v>
      </c>
      <c r="N97">
        <v>126.8</v>
      </c>
      <c r="O97">
        <v>120.4</v>
      </c>
      <c r="P97">
        <v>132.1</v>
      </c>
      <c r="Q97">
        <v>130.30000000000001</v>
      </c>
      <c r="R97">
        <v>131.19999999999999</v>
      </c>
      <c r="S97">
        <v>127.2</v>
      </c>
      <c r="T97">
        <v>122.9</v>
      </c>
      <c r="U97">
        <v>126.6</v>
      </c>
      <c r="V97">
        <v>120.9</v>
      </c>
      <c r="W97">
        <v>120.9</v>
      </c>
      <c r="X97">
        <v>120.6</v>
      </c>
      <c r="Y97">
        <v>122</v>
      </c>
      <c r="Z97">
        <v>119.4</v>
      </c>
      <c r="AA97">
        <v>111.7</v>
      </c>
      <c r="AB97">
        <v>117.8</v>
      </c>
      <c r="AC97">
        <v>125.1</v>
      </c>
      <c r="AD97">
        <v>112.3</v>
      </c>
      <c r="AE97">
        <v>117.2</v>
      </c>
      <c r="AF97">
        <v>124.8</v>
      </c>
      <c r="AG97">
        <v>1649.6</v>
      </c>
      <c r="AH97">
        <v>131.19999999999999</v>
      </c>
      <c r="AI97">
        <v>250.10000000000002</v>
      </c>
      <c r="AJ97">
        <v>593</v>
      </c>
      <c r="AK97">
        <v>119.4</v>
      </c>
      <c r="AL97">
        <v>111.7</v>
      </c>
      <c r="AM97">
        <v>117.8</v>
      </c>
      <c r="AN97">
        <v>125.1</v>
      </c>
    </row>
    <row r="98" spans="1:40" x14ac:dyDescent="0.25">
      <c r="A98" t="s">
        <v>30</v>
      </c>
      <c r="B98">
        <v>2015</v>
      </c>
      <c r="C98" t="s">
        <v>41</v>
      </c>
      <c r="D98" t="s">
        <v>146</v>
      </c>
      <c r="E98">
        <v>125.1</v>
      </c>
      <c r="F98">
        <v>131.1</v>
      </c>
      <c r="G98">
        <v>120.7</v>
      </c>
      <c r="H98">
        <v>129.19999999999999</v>
      </c>
      <c r="I98">
        <v>114.7</v>
      </c>
      <c r="J98">
        <v>132.30000000000001</v>
      </c>
      <c r="K98">
        <v>158.9</v>
      </c>
      <c r="L98">
        <v>142.1</v>
      </c>
      <c r="M98">
        <v>92.5</v>
      </c>
      <c r="N98">
        <v>125.4</v>
      </c>
      <c r="O98">
        <v>121.9</v>
      </c>
      <c r="P98">
        <v>132.69999999999999</v>
      </c>
      <c r="Q98">
        <v>131</v>
      </c>
      <c r="R98">
        <v>131</v>
      </c>
      <c r="S98">
        <v>130.4</v>
      </c>
      <c r="T98">
        <v>126.8</v>
      </c>
      <c r="U98">
        <v>129.9</v>
      </c>
      <c r="V98" t="s">
        <v>47</v>
      </c>
      <c r="W98">
        <v>121.6</v>
      </c>
      <c r="X98">
        <v>123.7</v>
      </c>
      <c r="Y98">
        <v>124.5</v>
      </c>
      <c r="Z98">
        <v>121.4</v>
      </c>
      <c r="AA98">
        <v>113.8</v>
      </c>
      <c r="AB98">
        <v>119.6</v>
      </c>
      <c r="AC98">
        <v>124.5</v>
      </c>
      <c r="AD98">
        <v>113.7</v>
      </c>
      <c r="AE98">
        <v>118.8</v>
      </c>
      <c r="AF98">
        <v>127</v>
      </c>
      <c r="AG98">
        <v>1657.6000000000001</v>
      </c>
      <c r="AH98">
        <v>131</v>
      </c>
      <c r="AI98">
        <v>257.2</v>
      </c>
      <c r="AJ98">
        <v>602.29999999999995</v>
      </c>
      <c r="AK98">
        <v>121.4</v>
      </c>
      <c r="AL98">
        <v>113.8</v>
      </c>
      <c r="AM98">
        <v>119.6</v>
      </c>
      <c r="AN98">
        <v>124.5</v>
      </c>
    </row>
    <row r="99" spans="1:40" x14ac:dyDescent="0.25">
      <c r="A99" t="s">
        <v>32</v>
      </c>
      <c r="B99">
        <v>2015</v>
      </c>
      <c r="C99" t="s">
        <v>41</v>
      </c>
      <c r="D99" t="s">
        <v>146</v>
      </c>
      <c r="E99">
        <v>123.4</v>
      </c>
      <c r="F99">
        <v>129</v>
      </c>
      <c r="G99">
        <v>115.6</v>
      </c>
      <c r="H99">
        <v>128.30000000000001</v>
      </c>
      <c r="I99">
        <v>107</v>
      </c>
      <c r="J99">
        <v>124</v>
      </c>
      <c r="K99">
        <v>168.5</v>
      </c>
      <c r="L99">
        <v>165.4</v>
      </c>
      <c r="M99">
        <v>86.3</v>
      </c>
      <c r="N99">
        <v>134.4</v>
      </c>
      <c r="O99">
        <v>119.1</v>
      </c>
      <c r="P99">
        <v>132.30000000000001</v>
      </c>
      <c r="Q99">
        <v>131.5</v>
      </c>
      <c r="R99">
        <v>134.69999999999999</v>
      </c>
      <c r="S99">
        <v>124</v>
      </c>
      <c r="T99">
        <v>118.6</v>
      </c>
      <c r="U99">
        <v>123.2</v>
      </c>
      <c r="V99">
        <v>121.6</v>
      </c>
      <c r="W99">
        <v>121.6</v>
      </c>
      <c r="X99">
        <v>115.1</v>
      </c>
      <c r="Y99">
        <v>120.4</v>
      </c>
      <c r="Z99">
        <v>117.1</v>
      </c>
      <c r="AA99">
        <v>109.1</v>
      </c>
      <c r="AB99">
        <v>117.3</v>
      </c>
      <c r="AC99">
        <v>126.5</v>
      </c>
      <c r="AD99">
        <v>112.9</v>
      </c>
      <c r="AE99">
        <v>116.2</v>
      </c>
      <c r="AF99">
        <v>123.5</v>
      </c>
      <c r="AG99">
        <v>1664.8</v>
      </c>
      <c r="AH99">
        <v>134.69999999999999</v>
      </c>
      <c r="AI99">
        <v>242.6</v>
      </c>
      <c r="AJ99">
        <v>586.20000000000005</v>
      </c>
      <c r="AK99">
        <v>117.1</v>
      </c>
      <c r="AL99">
        <v>109.1</v>
      </c>
      <c r="AM99">
        <v>117.3</v>
      </c>
      <c r="AN99">
        <v>126.5</v>
      </c>
    </row>
    <row r="100" spans="1:40" x14ac:dyDescent="0.25">
      <c r="A100" t="s">
        <v>33</v>
      </c>
      <c r="B100">
        <v>2015</v>
      </c>
      <c r="C100" t="s">
        <v>41</v>
      </c>
      <c r="D100" t="s">
        <v>146</v>
      </c>
      <c r="E100">
        <v>124.6</v>
      </c>
      <c r="F100">
        <v>130.4</v>
      </c>
      <c r="G100">
        <v>118.7</v>
      </c>
      <c r="H100">
        <v>128.9</v>
      </c>
      <c r="I100">
        <v>111.9</v>
      </c>
      <c r="J100">
        <v>128.4</v>
      </c>
      <c r="K100">
        <v>162.19999999999999</v>
      </c>
      <c r="L100">
        <v>150</v>
      </c>
      <c r="M100">
        <v>90.4</v>
      </c>
      <c r="N100">
        <v>128.4</v>
      </c>
      <c r="O100">
        <v>120.7</v>
      </c>
      <c r="P100">
        <v>132.5</v>
      </c>
      <c r="Q100">
        <v>131.19999999999999</v>
      </c>
      <c r="R100">
        <v>132</v>
      </c>
      <c r="S100">
        <v>127.9</v>
      </c>
      <c r="T100">
        <v>123.4</v>
      </c>
      <c r="U100">
        <v>127.2</v>
      </c>
      <c r="V100">
        <v>121.6</v>
      </c>
      <c r="W100">
        <v>121.6</v>
      </c>
      <c r="X100">
        <v>120.4</v>
      </c>
      <c r="Y100">
        <v>122.6</v>
      </c>
      <c r="Z100">
        <v>119.8</v>
      </c>
      <c r="AA100">
        <v>111.3</v>
      </c>
      <c r="AB100">
        <v>118.3</v>
      </c>
      <c r="AC100">
        <v>125.7</v>
      </c>
      <c r="AD100">
        <v>113.4</v>
      </c>
      <c r="AE100">
        <v>117.5</v>
      </c>
      <c r="AF100">
        <v>125.4</v>
      </c>
      <c r="AG100">
        <v>1658.3000000000002</v>
      </c>
      <c r="AH100">
        <v>132</v>
      </c>
      <c r="AI100">
        <v>251.3</v>
      </c>
      <c r="AJ100">
        <v>595.5</v>
      </c>
      <c r="AK100">
        <v>119.8</v>
      </c>
      <c r="AL100">
        <v>111.3</v>
      </c>
      <c r="AM100">
        <v>118.3</v>
      </c>
      <c r="AN100">
        <v>125.7</v>
      </c>
    </row>
    <row r="101" spans="1:40" x14ac:dyDescent="0.25">
      <c r="A101" t="s">
        <v>30</v>
      </c>
      <c r="B101">
        <v>2015</v>
      </c>
      <c r="C101" t="s">
        <v>42</v>
      </c>
      <c r="D101" t="s">
        <v>145</v>
      </c>
      <c r="E101">
        <v>125.6</v>
      </c>
      <c r="F101">
        <v>130.4</v>
      </c>
      <c r="G101">
        <v>120.8</v>
      </c>
      <c r="H101">
        <v>129.4</v>
      </c>
      <c r="I101">
        <v>115.8</v>
      </c>
      <c r="J101">
        <v>133.19999999999999</v>
      </c>
      <c r="K101">
        <v>157.69999999999999</v>
      </c>
      <c r="L101">
        <v>154.19999999999999</v>
      </c>
      <c r="M101">
        <v>93.7</v>
      </c>
      <c r="N101">
        <v>126.6</v>
      </c>
      <c r="O101">
        <v>122.3</v>
      </c>
      <c r="P101">
        <v>133.1</v>
      </c>
      <c r="Q101">
        <v>131.80000000000001</v>
      </c>
      <c r="R101">
        <v>131.5</v>
      </c>
      <c r="S101">
        <v>131.1</v>
      </c>
      <c r="T101">
        <v>127.3</v>
      </c>
      <c r="U101">
        <v>130.6</v>
      </c>
      <c r="V101" t="s">
        <v>47</v>
      </c>
      <c r="W101">
        <v>122.4</v>
      </c>
      <c r="X101">
        <v>124.4</v>
      </c>
      <c r="Y101">
        <v>125.1</v>
      </c>
      <c r="Z101">
        <v>122</v>
      </c>
      <c r="AA101">
        <v>113.8</v>
      </c>
      <c r="AB101">
        <v>120.1</v>
      </c>
      <c r="AC101">
        <v>125.1</v>
      </c>
      <c r="AD101">
        <v>114.2</v>
      </c>
      <c r="AE101">
        <v>119.2</v>
      </c>
      <c r="AF101">
        <v>127.7</v>
      </c>
      <c r="AG101">
        <v>1674.6</v>
      </c>
      <c r="AH101">
        <v>131.5</v>
      </c>
      <c r="AI101">
        <v>258.39999999999998</v>
      </c>
      <c r="AJ101">
        <v>605.29999999999995</v>
      </c>
      <c r="AK101">
        <v>122</v>
      </c>
      <c r="AL101">
        <v>113.8</v>
      </c>
      <c r="AM101">
        <v>120.1</v>
      </c>
      <c r="AN101">
        <v>125.1</v>
      </c>
    </row>
    <row r="102" spans="1:40" x14ac:dyDescent="0.25">
      <c r="A102" t="s">
        <v>32</v>
      </c>
      <c r="B102">
        <v>2015</v>
      </c>
      <c r="C102" t="s">
        <v>42</v>
      </c>
      <c r="D102" t="s">
        <v>145</v>
      </c>
      <c r="E102">
        <v>123.6</v>
      </c>
      <c r="F102">
        <v>128.6</v>
      </c>
      <c r="G102">
        <v>115.9</v>
      </c>
      <c r="H102">
        <v>128.5</v>
      </c>
      <c r="I102">
        <v>109</v>
      </c>
      <c r="J102">
        <v>124.1</v>
      </c>
      <c r="K102">
        <v>165.8</v>
      </c>
      <c r="L102">
        <v>187.2</v>
      </c>
      <c r="M102">
        <v>89.4</v>
      </c>
      <c r="N102">
        <v>135.80000000000001</v>
      </c>
      <c r="O102">
        <v>119.4</v>
      </c>
      <c r="P102">
        <v>132.9</v>
      </c>
      <c r="Q102">
        <v>132.6</v>
      </c>
      <c r="R102">
        <v>135.30000000000001</v>
      </c>
      <c r="S102">
        <v>124.4</v>
      </c>
      <c r="T102">
        <v>118.8</v>
      </c>
      <c r="U102">
        <v>123.6</v>
      </c>
      <c r="V102">
        <v>122.4</v>
      </c>
      <c r="W102">
        <v>122.4</v>
      </c>
      <c r="X102">
        <v>114.9</v>
      </c>
      <c r="Y102">
        <v>120.7</v>
      </c>
      <c r="Z102">
        <v>117.7</v>
      </c>
      <c r="AA102">
        <v>109.3</v>
      </c>
      <c r="AB102">
        <v>117.7</v>
      </c>
      <c r="AC102">
        <v>126.5</v>
      </c>
      <c r="AD102">
        <v>113.5</v>
      </c>
      <c r="AE102">
        <v>116.5</v>
      </c>
      <c r="AF102">
        <v>124.2</v>
      </c>
      <c r="AG102">
        <v>1692.8000000000002</v>
      </c>
      <c r="AH102">
        <v>135.30000000000001</v>
      </c>
      <c r="AI102">
        <v>243.2</v>
      </c>
      <c r="AJ102">
        <v>588</v>
      </c>
      <c r="AK102">
        <v>117.7</v>
      </c>
      <c r="AL102">
        <v>109.3</v>
      </c>
      <c r="AM102">
        <v>117.7</v>
      </c>
      <c r="AN102">
        <v>126.5</v>
      </c>
    </row>
    <row r="103" spans="1:40" x14ac:dyDescent="0.25">
      <c r="A103" t="s">
        <v>33</v>
      </c>
      <c r="B103">
        <v>2015</v>
      </c>
      <c r="C103" t="s">
        <v>42</v>
      </c>
      <c r="D103" t="s">
        <v>145</v>
      </c>
      <c r="E103">
        <v>125</v>
      </c>
      <c r="F103">
        <v>129.80000000000001</v>
      </c>
      <c r="G103">
        <v>118.9</v>
      </c>
      <c r="H103">
        <v>129.1</v>
      </c>
      <c r="I103">
        <v>113.3</v>
      </c>
      <c r="J103">
        <v>129</v>
      </c>
      <c r="K103">
        <v>160.4</v>
      </c>
      <c r="L103">
        <v>165.3</v>
      </c>
      <c r="M103">
        <v>92.3</v>
      </c>
      <c r="N103">
        <v>129.69999999999999</v>
      </c>
      <c r="O103">
        <v>121.1</v>
      </c>
      <c r="P103">
        <v>133</v>
      </c>
      <c r="Q103">
        <v>132.1</v>
      </c>
      <c r="R103">
        <v>132.5</v>
      </c>
      <c r="S103">
        <v>128.5</v>
      </c>
      <c r="T103">
        <v>123.8</v>
      </c>
      <c r="U103">
        <v>127.8</v>
      </c>
      <c r="V103">
        <v>122.4</v>
      </c>
      <c r="W103">
        <v>122.4</v>
      </c>
      <c r="X103">
        <v>120.8</v>
      </c>
      <c r="Y103">
        <v>123</v>
      </c>
      <c r="Z103">
        <v>120.4</v>
      </c>
      <c r="AA103">
        <v>111.4</v>
      </c>
      <c r="AB103">
        <v>118.7</v>
      </c>
      <c r="AC103">
        <v>125.9</v>
      </c>
      <c r="AD103">
        <v>113.9</v>
      </c>
      <c r="AE103">
        <v>117.9</v>
      </c>
      <c r="AF103">
        <v>126.1</v>
      </c>
      <c r="AG103">
        <v>1678.9999999999998</v>
      </c>
      <c r="AH103">
        <v>132.5</v>
      </c>
      <c r="AI103">
        <v>252.3</v>
      </c>
      <c r="AJ103">
        <v>598</v>
      </c>
      <c r="AK103">
        <v>120.4</v>
      </c>
      <c r="AL103">
        <v>111.4</v>
      </c>
      <c r="AM103">
        <v>118.7</v>
      </c>
      <c r="AN103">
        <v>125.9</v>
      </c>
    </row>
    <row r="104" spans="1:40" x14ac:dyDescent="0.25">
      <c r="A104" t="s">
        <v>30</v>
      </c>
      <c r="B104">
        <v>2015</v>
      </c>
      <c r="C104" t="s">
        <v>44</v>
      </c>
      <c r="D104" t="s">
        <v>144</v>
      </c>
      <c r="E104">
        <v>126.1</v>
      </c>
      <c r="F104">
        <v>130.6</v>
      </c>
      <c r="G104">
        <v>121.7</v>
      </c>
      <c r="H104">
        <v>129.5</v>
      </c>
      <c r="I104">
        <v>117.8</v>
      </c>
      <c r="J104">
        <v>132.1</v>
      </c>
      <c r="K104">
        <v>155.19999999999999</v>
      </c>
      <c r="L104">
        <v>160.80000000000001</v>
      </c>
      <c r="M104">
        <v>94.5</v>
      </c>
      <c r="N104">
        <v>128.30000000000001</v>
      </c>
      <c r="O104">
        <v>123.1</v>
      </c>
      <c r="P104">
        <v>134.19999999999999</v>
      </c>
      <c r="Q104">
        <v>132.4</v>
      </c>
      <c r="R104">
        <v>132.19999999999999</v>
      </c>
      <c r="S104">
        <v>132.1</v>
      </c>
      <c r="T104">
        <v>128.19999999999999</v>
      </c>
      <c r="U104">
        <v>131.5</v>
      </c>
      <c r="V104" t="s">
        <v>47</v>
      </c>
      <c r="W104">
        <v>122.9</v>
      </c>
      <c r="X104">
        <v>125.6</v>
      </c>
      <c r="Y104">
        <v>125.6</v>
      </c>
      <c r="Z104">
        <v>122.6</v>
      </c>
      <c r="AA104">
        <v>114</v>
      </c>
      <c r="AB104">
        <v>120.9</v>
      </c>
      <c r="AC104">
        <v>125.8</v>
      </c>
      <c r="AD104">
        <v>114.2</v>
      </c>
      <c r="AE104">
        <v>119.6</v>
      </c>
      <c r="AF104">
        <v>128.30000000000001</v>
      </c>
      <c r="AG104">
        <v>1686.3</v>
      </c>
      <c r="AH104">
        <v>132.19999999999999</v>
      </c>
      <c r="AI104">
        <v>260.29999999999995</v>
      </c>
      <c r="AJ104">
        <v>607.9</v>
      </c>
      <c r="AK104">
        <v>122.6</v>
      </c>
      <c r="AL104">
        <v>114</v>
      </c>
      <c r="AM104">
        <v>120.9</v>
      </c>
      <c r="AN104">
        <v>125.8</v>
      </c>
    </row>
    <row r="105" spans="1:40" x14ac:dyDescent="0.25">
      <c r="A105" t="s">
        <v>32</v>
      </c>
      <c r="B105">
        <v>2015</v>
      </c>
      <c r="C105" t="s">
        <v>44</v>
      </c>
      <c r="D105" t="s">
        <v>144</v>
      </c>
      <c r="E105">
        <v>124</v>
      </c>
      <c r="F105">
        <v>129.80000000000001</v>
      </c>
      <c r="G105">
        <v>121.5</v>
      </c>
      <c r="H105">
        <v>128.6</v>
      </c>
      <c r="I105">
        <v>110</v>
      </c>
      <c r="J105">
        <v>123.7</v>
      </c>
      <c r="K105">
        <v>164.6</v>
      </c>
      <c r="L105">
        <v>191.6</v>
      </c>
      <c r="M105">
        <v>90.8</v>
      </c>
      <c r="N105">
        <v>137.1</v>
      </c>
      <c r="O105">
        <v>119.8</v>
      </c>
      <c r="P105">
        <v>133.69999999999999</v>
      </c>
      <c r="Q105">
        <v>133.30000000000001</v>
      </c>
      <c r="R105">
        <v>137.6</v>
      </c>
      <c r="S105">
        <v>125</v>
      </c>
      <c r="T105">
        <v>119.3</v>
      </c>
      <c r="U105">
        <v>124.2</v>
      </c>
      <c r="V105">
        <v>122.9</v>
      </c>
      <c r="W105">
        <v>122.9</v>
      </c>
      <c r="X105">
        <v>115.1</v>
      </c>
      <c r="Y105">
        <v>121</v>
      </c>
      <c r="Z105">
        <v>118.1</v>
      </c>
      <c r="AA105">
        <v>109.3</v>
      </c>
      <c r="AB105">
        <v>117.9</v>
      </c>
      <c r="AC105">
        <v>126.6</v>
      </c>
      <c r="AD105">
        <v>113.3</v>
      </c>
      <c r="AE105">
        <v>116.6</v>
      </c>
      <c r="AF105">
        <v>124.6</v>
      </c>
      <c r="AG105">
        <v>1708.4999999999998</v>
      </c>
      <c r="AH105">
        <v>137.6</v>
      </c>
      <c r="AI105">
        <v>244.3</v>
      </c>
      <c r="AJ105">
        <v>588.9</v>
      </c>
      <c r="AK105">
        <v>118.1</v>
      </c>
      <c r="AL105">
        <v>109.3</v>
      </c>
      <c r="AM105">
        <v>117.9</v>
      </c>
      <c r="AN105">
        <v>126.6</v>
      </c>
    </row>
    <row r="106" spans="1:40" x14ac:dyDescent="0.25">
      <c r="A106" t="s">
        <v>33</v>
      </c>
      <c r="B106">
        <v>2015</v>
      </c>
      <c r="C106" t="s">
        <v>44</v>
      </c>
      <c r="D106" t="s">
        <v>144</v>
      </c>
      <c r="E106">
        <v>125.4</v>
      </c>
      <c r="F106">
        <v>130.30000000000001</v>
      </c>
      <c r="G106">
        <v>121.6</v>
      </c>
      <c r="H106">
        <v>129.19999999999999</v>
      </c>
      <c r="I106">
        <v>114.9</v>
      </c>
      <c r="J106">
        <v>128.19999999999999</v>
      </c>
      <c r="K106">
        <v>158.4</v>
      </c>
      <c r="L106">
        <v>171.2</v>
      </c>
      <c r="M106">
        <v>93.3</v>
      </c>
      <c r="N106">
        <v>131.19999999999999</v>
      </c>
      <c r="O106">
        <v>121.7</v>
      </c>
      <c r="P106">
        <v>134</v>
      </c>
      <c r="Q106">
        <v>132.69999999999999</v>
      </c>
      <c r="R106">
        <v>133.6</v>
      </c>
      <c r="S106">
        <v>129.30000000000001</v>
      </c>
      <c r="T106">
        <v>124.5</v>
      </c>
      <c r="U106">
        <v>128.6</v>
      </c>
      <c r="V106">
        <v>122.9</v>
      </c>
      <c r="W106">
        <v>122.9</v>
      </c>
      <c r="X106">
        <v>121.6</v>
      </c>
      <c r="Y106">
        <v>123.4</v>
      </c>
      <c r="Z106">
        <v>120.9</v>
      </c>
      <c r="AA106">
        <v>111.5</v>
      </c>
      <c r="AB106">
        <v>119.2</v>
      </c>
      <c r="AC106">
        <v>126.3</v>
      </c>
      <c r="AD106">
        <v>113.8</v>
      </c>
      <c r="AE106">
        <v>118.1</v>
      </c>
      <c r="AF106">
        <v>126.6</v>
      </c>
      <c r="AG106">
        <v>1692.1</v>
      </c>
      <c r="AH106">
        <v>133.6</v>
      </c>
      <c r="AI106">
        <v>253.8</v>
      </c>
      <c r="AJ106">
        <v>599.79999999999995</v>
      </c>
      <c r="AK106">
        <v>120.9</v>
      </c>
      <c r="AL106">
        <v>111.5</v>
      </c>
      <c r="AM106">
        <v>119.2</v>
      </c>
      <c r="AN106">
        <v>126.3</v>
      </c>
    </row>
    <row r="107" spans="1:40" x14ac:dyDescent="0.25">
      <c r="A107" t="s">
        <v>30</v>
      </c>
      <c r="B107">
        <v>2015</v>
      </c>
      <c r="C107" t="s">
        <v>45</v>
      </c>
      <c r="D107" t="s">
        <v>137</v>
      </c>
      <c r="E107">
        <v>126.3</v>
      </c>
      <c r="F107">
        <v>131.30000000000001</v>
      </c>
      <c r="G107">
        <v>123.3</v>
      </c>
      <c r="H107">
        <v>129.80000000000001</v>
      </c>
      <c r="I107">
        <v>118.3</v>
      </c>
      <c r="J107">
        <v>131.6</v>
      </c>
      <c r="K107">
        <v>145.5</v>
      </c>
      <c r="L107">
        <v>162.1</v>
      </c>
      <c r="M107">
        <v>95.4</v>
      </c>
      <c r="N107">
        <v>128.9</v>
      </c>
      <c r="O107">
        <v>123.3</v>
      </c>
      <c r="P107">
        <v>135.1</v>
      </c>
      <c r="Q107">
        <v>131.4</v>
      </c>
      <c r="R107">
        <v>133.1</v>
      </c>
      <c r="S107">
        <v>132.5</v>
      </c>
      <c r="T107">
        <v>128.5</v>
      </c>
      <c r="U107">
        <v>131.9</v>
      </c>
      <c r="V107" t="s">
        <v>47</v>
      </c>
      <c r="W107">
        <v>122.4</v>
      </c>
      <c r="X107">
        <v>125.7</v>
      </c>
      <c r="Y107">
        <v>126</v>
      </c>
      <c r="Z107">
        <v>123.1</v>
      </c>
      <c r="AA107">
        <v>114</v>
      </c>
      <c r="AB107">
        <v>121.6</v>
      </c>
      <c r="AC107">
        <v>125.6</v>
      </c>
      <c r="AD107">
        <v>114.1</v>
      </c>
      <c r="AE107">
        <v>119.8</v>
      </c>
      <c r="AF107">
        <v>127.9</v>
      </c>
      <c r="AG107">
        <v>1682.3000000000002</v>
      </c>
      <c r="AH107">
        <v>133.1</v>
      </c>
      <c r="AI107">
        <v>261</v>
      </c>
      <c r="AJ107">
        <v>608</v>
      </c>
      <c r="AK107">
        <v>123.1</v>
      </c>
      <c r="AL107">
        <v>114</v>
      </c>
      <c r="AM107">
        <v>121.6</v>
      </c>
      <c r="AN107">
        <v>125.6</v>
      </c>
    </row>
    <row r="108" spans="1:40" x14ac:dyDescent="0.25">
      <c r="A108" t="s">
        <v>32</v>
      </c>
      <c r="B108">
        <v>2015</v>
      </c>
      <c r="C108" t="s">
        <v>45</v>
      </c>
      <c r="D108" t="s">
        <v>137</v>
      </c>
      <c r="E108">
        <v>124.3</v>
      </c>
      <c r="F108">
        <v>131.69999999999999</v>
      </c>
      <c r="G108">
        <v>127.1</v>
      </c>
      <c r="H108">
        <v>128.6</v>
      </c>
      <c r="I108">
        <v>110</v>
      </c>
      <c r="J108">
        <v>120.8</v>
      </c>
      <c r="K108">
        <v>149</v>
      </c>
      <c r="L108">
        <v>190.1</v>
      </c>
      <c r="M108">
        <v>92.7</v>
      </c>
      <c r="N108">
        <v>138.6</v>
      </c>
      <c r="O108">
        <v>120.2</v>
      </c>
      <c r="P108">
        <v>134.19999999999999</v>
      </c>
      <c r="Q108">
        <v>131.5</v>
      </c>
      <c r="R108">
        <v>138.19999999999999</v>
      </c>
      <c r="S108">
        <v>125.4</v>
      </c>
      <c r="T108">
        <v>119.5</v>
      </c>
      <c r="U108">
        <v>124.5</v>
      </c>
      <c r="V108">
        <v>122.4</v>
      </c>
      <c r="W108">
        <v>122.4</v>
      </c>
      <c r="X108">
        <v>116</v>
      </c>
      <c r="Y108">
        <v>121</v>
      </c>
      <c r="Z108">
        <v>118.6</v>
      </c>
      <c r="AA108">
        <v>109.3</v>
      </c>
      <c r="AB108">
        <v>118.1</v>
      </c>
      <c r="AC108">
        <v>126.6</v>
      </c>
      <c r="AD108">
        <v>113.2</v>
      </c>
      <c r="AE108">
        <v>116.7</v>
      </c>
      <c r="AF108">
        <v>124</v>
      </c>
      <c r="AG108">
        <v>1698.8</v>
      </c>
      <c r="AH108">
        <v>138.19999999999999</v>
      </c>
      <c r="AI108">
        <v>244.9</v>
      </c>
      <c r="AJ108">
        <v>589.29999999999995</v>
      </c>
      <c r="AK108">
        <v>118.6</v>
      </c>
      <c r="AL108">
        <v>109.3</v>
      </c>
      <c r="AM108">
        <v>118.1</v>
      </c>
      <c r="AN108">
        <v>126.6</v>
      </c>
    </row>
    <row r="109" spans="1:40" x14ac:dyDescent="0.25">
      <c r="A109" t="s">
        <v>33</v>
      </c>
      <c r="B109">
        <v>2015</v>
      </c>
      <c r="C109" t="s">
        <v>45</v>
      </c>
      <c r="D109" t="s">
        <v>137</v>
      </c>
      <c r="E109">
        <v>125.7</v>
      </c>
      <c r="F109">
        <v>131.4</v>
      </c>
      <c r="G109">
        <v>124.8</v>
      </c>
      <c r="H109">
        <v>129.4</v>
      </c>
      <c r="I109">
        <v>115.3</v>
      </c>
      <c r="J109">
        <v>126.6</v>
      </c>
      <c r="K109">
        <v>146.69999999999999</v>
      </c>
      <c r="L109">
        <v>171.5</v>
      </c>
      <c r="M109">
        <v>94.5</v>
      </c>
      <c r="N109">
        <v>132.1</v>
      </c>
      <c r="O109">
        <v>122</v>
      </c>
      <c r="P109">
        <v>134.69999999999999</v>
      </c>
      <c r="Q109">
        <v>131.4</v>
      </c>
      <c r="R109">
        <v>134.5</v>
      </c>
      <c r="S109">
        <v>129.69999999999999</v>
      </c>
      <c r="T109">
        <v>124.8</v>
      </c>
      <c r="U109">
        <v>129</v>
      </c>
      <c r="V109">
        <v>122.4</v>
      </c>
      <c r="W109">
        <v>122.4</v>
      </c>
      <c r="X109">
        <v>122</v>
      </c>
      <c r="Y109">
        <v>123.6</v>
      </c>
      <c r="Z109">
        <v>121.4</v>
      </c>
      <c r="AA109">
        <v>111.5</v>
      </c>
      <c r="AB109">
        <v>119.6</v>
      </c>
      <c r="AC109">
        <v>126.2</v>
      </c>
      <c r="AD109">
        <v>113.7</v>
      </c>
      <c r="AE109">
        <v>118.3</v>
      </c>
      <c r="AF109">
        <v>126.1</v>
      </c>
      <c r="AG109">
        <v>1686.1000000000001</v>
      </c>
      <c r="AH109">
        <v>134.5</v>
      </c>
      <c r="AI109">
        <v>254.5</v>
      </c>
      <c r="AJ109">
        <v>600</v>
      </c>
      <c r="AK109">
        <v>121.4</v>
      </c>
      <c r="AL109">
        <v>111.5</v>
      </c>
      <c r="AM109">
        <v>119.6</v>
      </c>
      <c r="AN109">
        <v>126.2</v>
      </c>
    </row>
    <row r="110" spans="1:40" x14ac:dyDescent="0.25">
      <c r="A110" t="s">
        <v>30</v>
      </c>
      <c r="B110">
        <v>2016</v>
      </c>
      <c r="C110" t="s">
        <v>31</v>
      </c>
      <c r="D110" t="s">
        <v>151</v>
      </c>
      <c r="E110">
        <v>126.8</v>
      </c>
      <c r="F110">
        <v>133.19999999999999</v>
      </c>
      <c r="G110">
        <v>126.5</v>
      </c>
      <c r="H110">
        <v>130.30000000000001</v>
      </c>
      <c r="I110">
        <v>118.9</v>
      </c>
      <c r="J110">
        <v>131.6</v>
      </c>
      <c r="K110">
        <v>140.1</v>
      </c>
      <c r="L110">
        <v>163.80000000000001</v>
      </c>
      <c r="M110">
        <v>97.7</v>
      </c>
      <c r="N110">
        <v>129.6</v>
      </c>
      <c r="O110">
        <v>124.3</v>
      </c>
      <c r="P110">
        <v>135.9</v>
      </c>
      <c r="Q110">
        <v>131.4</v>
      </c>
      <c r="R110">
        <v>133.6</v>
      </c>
      <c r="S110">
        <v>133.19999999999999</v>
      </c>
      <c r="T110">
        <v>128.9</v>
      </c>
      <c r="U110">
        <v>132.6</v>
      </c>
      <c r="V110" t="s">
        <v>47</v>
      </c>
      <c r="W110">
        <v>123.4</v>
      </c>
      <c r="X110">
        <v>126.2</v>
      </c>
      <c r="Y110">
        <v>126.6</v>
      </c>
      <c r="Z110">
        <v>123.7</v>
      </c>
      <c r="AA110">
        <v>113.6</v>
      </c>
      <c r="AB110">
        <v>121.4</v>
      </c>
      <c r="AC110">
        <v>126.2</v>
      </c>
      <c r="AD110">
        <v>114.9</v>
      </c>
      <c r="AE110">
        <v>120.1</v>
      </c>
      <c r="AF110">
        <v>128.1</v>
      </c>
      <c r="AG110">
        <v>1690.1000000000001</v>
      </c>
      <c r="AH110">
        <v>133.6</v>
      </c>
      <c r="AI110">
        <v>262.10000000000002</v>
      </c>
      <c r="AJ110">
        <v>611.20000000000005</v>
      </c>
      <c r="AK110">
        <v>123.7</v>
      </c>
      <c r="AL110">
        <v>113.6</v>
      </c>
      <c r="AM110">
        <v>121.4</v>
      </c>
      <c r="AN110">
        <v>126.2</v>
      </c>
    </row>
    <row r="111" spans="1:40" x14ac:dyDescent="0.25">
      <c r="A111" t="s">
        <v>32</v>
      </c>
      <c r="B111">
        <v>2016</v>
      </c>
      <c r="C111" t="s">
        <v>31</v>
      </c>
      <c r="D111" t="s">
        <v>151</v>
      </c>
      <c r="E111">
        <v>124.7</v>
      </c>
      <c r="F111">
        <v>135.9</v>
      </c>
      <c r="G111">
        <v>132</v>
      </c>
      <c r="H111">
        <v>129.19999999999999</v>
      </c>
      <c r="I111">
        <v>109.7</v>
      </c>
      <c r="J111">
        <v>119</v>
      </c>
      <c r="K111">
        <v>144.1</v>
      </c>
      <c r="L111">
        <v>184.2</v>
      </c>
      <c r="M111">
        <v>96.7</v>
      </c>
      <c r="N111">
        <v>139.5</v>
      </c>
      <c r="O111">
        <v>120.5</v>
      </c>
      <c r="P111">
        <v>134.69999999999999</v>
      </c>
      <c r="Q111">
        <v>131.19999999999999</v>
      </c>
      <c r="R111">
        <v>139.5</v>
      </c>
      <c r="S111">
        <v>125.8</v>
      </c>
      <c r="T111">
        <v>119.8</v>
      </c>
      <c r="U111">
        <v>124.9</v>
      </c>
      <c r="V111">
        <v>123.4</v>
      </c>
      <c r="W111">
        <v>123.4</v>
      </c>
      <c r="X111">
        <v>116.9</v>
      </c>
      <c r="Y111">
        <v>121.6</v>
      </c>
      <c r="Z111">
        <v>119.1</v>
      </c>
      <c r="AA111">
        <v>108.9</v>
      </c>
      <c r="AB111">
        <v>118.5</v>
      </c>
      <c r="AC111">
        <v>126.4</v>
      </c>
      <c r="AD111">
        <v>114</v>
      </c>
      <c r="AE111">
        <v>116.8</v>
      </c>
      <c r="AF111">
        <v>124.2</v>
      </c>
      <c r="AG111">
        <v>1701.4</v>
      </c>
      <c r="AH111">
        <v>139.5</v>
      </c>
      <c r="AI111">
        <v>245.6</v>
      </c>
      <c r="AJ111">
        <v>592.69999999999993</v>
      </c>
      <c r="AK111">
        <v>119.1</v>
      </c>
      <c r="AL111">
        <v>108.9</v>
      </c>
      <c r="AM111">
        <v>118.5</v>
      </c>
      <c r="AN111">
        <v>126.4</v>
      </c>
    </row>
    <row r="112" spans="1:40" x14ac:dyDescent="0.25">
      <c r="A112" t="s">
        <v>33</v>
      </c>
      <c r="B112">
        <v>2016</v>
      </c>
      <c r="C112" t="s">
        <v>31</v>
      </c>
      <c r="D112" t="s">
        <v>151</v>
      </c>
      <c r="E112">
        <v>126.1</v>
      </c>
      <c r="F112">
        <v>134.1</v>
      </c>
      <c r="G112">
        <v>128.6</v>
      </c>
      <c r="H112">
        <v>129.9</v>
      </c>
      <c r="I112">
        <v>115.5</v>
      </c>
      <c r="J112">
        <v>125.7</v>
      </c>
      <c r="K112">
        <v>141.5</v>
      </c>
      <c r="L112">
        <v>170.7</v>
      </c>
      <c r="M112">
        <v>97.4</v>
      </c>
      <c r="N112">
        <v>132.9</v>
      </c>
      <c r="O112">
        <v>122.7</v>
      </c>
      <c r="P112">
        <v>135.30000000000001</v>
      </c>
      <c r="Q112">
        <v>131.30000000000001</v>
      </c>
      <c r="R112">
        <v>135.19999999999999</v>
      </c>
      <c r="S112">
        <v>130.30000000000001</v>
      </c>
      <c r="T112">
        <v>125.1</v>
      </c>
      <c r="U112">
        <v>129.5</v>
      </c>
      <c r="V112">
        <v>123.4</v>
      </c>
      <c r="W112">
        <v>123.4</v>
      </c>
      <c r="X112">
        <v>122.7</v>
      </c>
      <c r="Y112">
        <v>124.2</v>
      </c>
      <c r="Z112">
        <v>122</v>
      </c>
      <c r="AA112">
        <v>111.1</v>
      </c>
      <c r="AB112">
        <v>119.8</v>
      </c>
      <c r="AC112">
        <v>126.3</v>
      </c>
      <c r="AD112">
        <v>114.5</v>
      </c>
      <c r="AE112">
        <v>118.5</v>
      </c>
      <c r="AF112">
        <v>126.3</v>
      </c>
      <c r="AG112">
        <v>1691.7</v>
      </c>
      <c r="AH112">
        <v>135.19999999999999</v>
      </c>
      <c r="AI112">
        <v>255.4</v>
      </c>
      <c r="AJ112">
        <v>603.29999999999995</v>
      </c>
      <c r="AK112">
        <v>122</v>
      </c>
      <c r="AL112">
        <v>111.1</v>
      </c>
      <c r="AM112">
        <v>119.8</v>
      </c>
      <c r="AN112">
        <v>126.3</v>
      </c>
    </row>
    <row r="113" spans="1:40" x14ac:dyDescent="0.25">
      <c r="A113" t="s">
        <v>30</v>
      </c>
      <c r="B113">
        <v>2016</v>
      </c>
      <c r="C113" t="s">
        <v>34</v>
      </c>
      <c r="D113" t="s">
        <v>150</v>
      </c>
      <c r="E113">
        <v>127.1</v>
      </c>
      <c r="F113">
        <v>133.69999999999999</v>
      </c>
      <c r="G113">
        <v>127.7</v>
      </c>
      <c r="H113">
        <v>130.69999999999999</v>
      </c>
      <c r="I113">
        <v>118.5</v>
      </c>
      <c r="J113">
        <v>130.4</v>
      </c>
      <c r="K113">
        <v>130.9</v>
      </c>
      <c r="L113">
        <v>162.80000000000001</v>
      </c>
      <c r="M113">
        <v>98.7</v>
      </c>
      <c r="N113">
        <v>130.6</v>
      </c>
      <c r="O113">
        <v>124.8</v>
      </c>
      <c r="P113">
        <v>136.4</v>
      </c>
      <c r="Q113">
        <v>130.30000000000001</v>
      </c>
      <c r="R113">
        <v>134.4</v>
      </c>
      <c r="S113">
        <v>133.9</v>
      </c>
      <c r="T113">
        <v>129.80000000000001</v>
      </c>
      <c r="U113">
        <v>133.4</v>
      </c>
      <c r="V113" t="s">
        <v>47</v>
      </c>
      <c r="W113">
        <v>124.4</v>
      </c>
      <c r="X113">
        <v>127.5</v>
      </c>
      <c r="Y113">
        <v>127.1</v>
      </c>
      <c r="Z113">
        <v>124.3</v>
      </c>
      <c r="AA113">
        <v>113.9</v>
      </c>
      <c r="AB113">
        <v>122.3</v>
      </c>
      <c r="AC113">
        <v>127.1</v>
      </c>
      <c r="AD113">
        <v>116.8</v>
      </c>
      <c r="AE113">
        <v>120.9</v>
      </c>
      <c r="AF113">
        <v>127.9</v>
      </c>
      <c r="AG113">
        <v>1682.6</v>
      </c>
      <c r="AH113">
        <v>134.4</v>
      </c>
      <c r="AI113">
        <v>263.70000000000005</v>
      </c>
      <c r="AJ113">
        <v>616.70000000000005</v>
      </c>
      <c r="AK113">
        <v>124.3</v>
      </c>
      <c r="AL113">
        <v>113.9</v>
      </c>
      <c r="AM113">
        <v>122.3</v>
      </c>
      <c r="AN113">
        <v>127.1</v>
      </c>
    </row>
    <row r="114" spans="1:40" x14ac:dyDescent="0.25">
      <c r="A114" t="s">
        <v>32</v>
      </c>
      <c r="B114">
        <v>2016</v>
      </c>
      <c r="C114" t="s">
        <v>34</v>
      </c>
      <c r="D114" t="s">
        <v>150</v>
      </c>
      <c r="E114">
        <v>124.8</v>
      </c>
      <c r="F114">
        <v>135.1</v>
      </c>
      <c r="G114">
        <v>130.30000000000001</v>
      </c>
      <c r="H114">
        <v>129.6</v>
      </c>
      <c r="I114">
        <v>108.4</v>
      </c>
      <c r="J114">
        <v>118.6</v>
      </c>
      <c r="K114">
        <v>129.19999999999999</v>
      </c>
      <c r="L114">
        <v>176.4</v>
      </c>
      <c r="M114">
        <v>99.1</v>
      </c>
      <c r="N114">
        <v>139.69999999999999</v>
      </c>
      <c r="O114">
        <v>120.6</v>
      </c>
      <c r="P114">
        <v>135.19999999999999</v>
      </c>
      <c r="Q114">
        <v>129.1</v>
      </c>
      <c r="R114">
        <v>140</v>
      </c>
      <c r="S114">
        <v>126.2</v>
      </c>
      <c r="T114">
        <v>120.1</v>
      </c>
      <c r="U114">
        <v>125.3</v>
      </c>
      <c r="V114">
        <v>124.4</v>
      </c>
      <c r="W114">
        <v>124.4</v>
      </c>
      <c r="X114">
        <v>116</v>
      </c>
      <c r="Y114">
        <v>121.8</v>
      </c>
      <c r="Z114">
        <v>119.5</v>
      </c>
      <c r="AA114">
        <v>109.1</v>
      </c>
      <c r="AB114">
        <v>118.8</v>
      </c>
      <c r="AC114">
        <v>126.3</v>
      </c>
      <c r="AD114">
        <v>116.2</v>
      </c>
      <c r="AE114">
        <v>117.2</v>
      </c>
      <c r="AF114">
        <v>123.8</v>
      </c>
      <c r="AG114">
        <v>1676.1</v>
      </c>
      <c r="AH114">
        <v>140</v>
      </c>
      <c r="AI114">
        <v>246.3</v>
      </c>
      <c r="AJ114">
        <v>595.6</v>
      </c>
      <c r="AK114">
        <v>119.5</v>
      </c>
      <c r="AL114">
        <v>109.1</v>
      </c>
      <c r="AM114">
        <v>118.8</v>
      </c>
      <c r="AN114">
        <v>126.3</v>
      </c>
    </row>
    <row r="115" spans="1:40" x14ac:dyDescent="0.25">
      <c r="A115" t="s">
        <v>33</v>
      </c>
      <c r="B115">
        <v>2016</v>
      </c>
      <c r="C115" t="s">
        <v>34</v>
      </c>
      <c r="D115" t="s">
        <v>150</v>
      </c>
      <c r="E115">
        <v>126.4</v>
      </c>
      <c r="F115">
        <v>134.19999999999999</v>
      </c>
      <c r="G115">
        <v>128.69999999999999</v>
      </c>
      <c r="H115">
        <v>130.30000000000001</v>
      </c>
      <c r="I115">
        <v>114.8</v>
      </c>
      <c r="J115">
        <v>124.9</v>
      </c>
      <c r="K115">
        <v>130.30000000000001</v>
      </c>
      <c r="L115">
        <v>167.4</v>
      </c>
      <c r="M115">
        <v>98.8</v>
      </c>
      <c r="N115">
        <v>133.6</v>
      </c>
      <c r="O115">
        <v>123</v>
      </c>
      <c r="P115">
        <v>135.80000000000001</v>
      </c>
      <c r="Q115">
        <v>129.9</v>
      </c>
      <c r="R115">
        <v>135.9</v>
      </c>
      <c r="S115">
        <v>130.9</v>
      </c>
      <c r="T115">
        <v>125.8</v>
      </c>
      <c r="U115">
        <v>130.19999999999999</v>
      </c>
      <c r="V115">
        <v>124.4</v>
      </c>
      <c r="W115">
        <v>124.4</v>
      </c>
      <c r="X115">
        <v>123.1</v>
      </c>
      <c r="Y115">
        <v>124.6</v>
      </c>
      <c r="Z115">
        <v>122.5</v>
      </c>
      <c r="AA115">
        <v>111.4</v>
      </c>
      <c r="AB115">
        <v>120.3</v>
      </c>
      <c r="AC115">
        <v>126.6</v>
      </c>
      <c r="AD115">
        <v>116.6</v>
      </c>
      <c r="AE115">
        <v>119.1</v>
      </c>
      <c r="AF115">
        <v>126</v>
      </c>
      <c r="AG115">
        <v>1678.1</v>
      </c>
      <c r="AH115">
        <v>135.9</v>
      </c>
      <c r="AI115">
        <v>256.7</v>
      </c>
      <c r="AJ115">
        <v>607.80000000000007</v>
      </c>
      <c r="AK115">
        <v>122.5</v>
      </c>
      <c r="AL115">
        <v>111.4</v>
      </c>
      <c r="AM115">
        <v>120.3</v>
      </c>
      <c r="AN115">
        <v>126.6</v>
      </c>
    </row>
    <row r="116" spans="1:40" x14ac:dyDescent="0.25">
      <c r="A116" t="s">
        <v>30</v>
      </c>
      <c r="B116">
        <v>2016</v>
      </c>
      <c r="C116" t="s">
        <v>35</v>
      </c>
      <c r="D116" t="s">
        <v>154</v>
      </c>
      <c r="E116">
        <v>127.3</v>
      </c>
      <c r="F116">
        <v>134.4</v>
      </c>
      <c r="G116">
        <v>125.1</v>
      </c>
      <c r="H116">
        <v>130.5</v>
      </c>
      <c r="I116">
        <v>118.3</v>
      </c>
      <c r="J116">
        <v>131.69999999999999</v>
      </c>
      <c r="K116">
        <v>130.69999999999999</v>
      </c>
      <c r="L116">
        <v>161.19999999999999</v>
      </c>
      <c r="M116">
        <v>100.4</v>
      </c>
      <c r="N116">
        <v>130.80000000000001</v>
      </c>
      <c r="O116">
        <v>124.9</v>
      </c>
      <c r="P116">
        <v>137</v>
      </c>
      <c r="Q116">
        <v>130.4</v>
      </c>
      <c r="R116">
        <v>135</v>
      </c>
      <c r="S116">
        <v>134.4</v>
      </c>
      <c r="T116">
        <v>130.19999999999999</v>
      </c>
      <c r="U116">
        <v>133.80000000000001</v>
      </c>
      <c r="V116" t="s">
        <v>47</v>
      </c>
      <c r="W116">
        <v>124.9</v>
      </c>
      <c r="X116">
        <v>127</v>
      </c>
      <c r="Y116">
        <v>127.7</v>
      </c>
      <c r="Z116">
        <v>124.8</v>
      </c>
      <c r="AA116">
        <v>113.6</v>
      </c>
      <c r="AB116">
        <v>122.5</v>
      </c>
      <c r="AC116">
        <v>127.5</v>
      </c>
      <c r="AD116">
        <v>117.4</v>
      </c>
      <c r="AE116">
        <v>121.1</v>
      </c>
      <c r="AF116">
        <v>128</v>
      </c>
      <c r="AG116">
        <v>1682.7000000000003</v>
      </c>
      <c r="AH116">
        <v>135</v>
      </c>
      <c r="AI116">
        <v>264.60000000000002</v>
      </c>
      <c r="AJ116">
        <v>618.1</v>
      </c>
      <c r="AK116">
        <v>124.8</v>
      </c>
      <c r="AL116">
        <v>113.6</v>
      </c>
      <c r="AM116">
        <v>122.5</v>
      </c>
      <c r="AN116">
        <v>127.5</v>
      </c>
    </row>
    <row r="117" spans="1:40" x14ac:dyDescent="0.25">
      <c r="A117" t="s">
        <v>32</v>
      </c>
      <c r="B117">
        <v>2016</v>
      </c>
      <c r="C117" t="s">
        <v>35</v>
      </c>
      <c r="D117" t="s">
        <v>154</v>
      </c>
      <c r="E117">
        <v>124.8</v>
      </c>
      <c r="F117">
        <v>136.30000000000001</v>
      </c>
      <c r="G117">
        <v>123.7</v>
      </c>
      <c r="H117">
        <v>129.69999999999999</v>
      </c>
      <c r="I117">
        <v>107.9</v>
      </c>
      <c r="J117">
        <v>119.9</v>
      </c>
      <c r="K117">
        <v>128.1</v>
      </c>
      <c r="L117">
        <v>170.3</v>
      </c>
      <c r="M117">
        <v>101.8</v>
      </c>
      <c r="N117">
        <v>140.1</v>
      </c>
      <c r="O117">
        <v>120.7</v>
      </c>
      <c r="P117">
        <v>135.4</v>
      </c>
      <c r="Q117">
        <v>128.9</v>
      </c>
      <c r="R117">
        <v>140.6</v>
      </c>
      <c r="S117">
        <v>126.4</v>
      </c>
      <c r="T117">
        <v>120.3</v>
      </c>
      <c r="U117">
        <v>125.5</v>
      </c>
      <c r="V117">
        <v>124.9</v>
      </c>
      <c r="W117">
        <v>124.9</v>
      </c>
      <c r="X117">
        <v>114.8</v>
      </c>
      <c r="Y117">
        <v>122.3</v>
      </c>
      <c r="Z117">
        <v>119.7</v>
      </c>
      <c r="AA117">
        <v>108.5</v>
      </c>
      <c r="AB117">
        <v>119.1</v>
      </c>
      <c r="AC117">
        <v>126.4</v>
      </c>
      <c r="AD117">
        <v>117.1</v>
      </c>
      <c r="AE117">
        <v>117.3</v>
      </c>
      <c r="AF117">
        <v>123.8</v>
      </c>
      <c r="AG117">
        <v>1667.6000000000001</v>
      </c>
      <c r="AH117">
        <v>140.6</v>
      </c>
      <c r="AI117">
        <v>246.7</v>
      </c>
      <c r="AJ117">
        <v>596.4</v>
      </c>
      <c r="AK117">
        <v>119.7</v>
      </c>
      <c r="AL117">
        <v>108.5</v>
      </c>
      <c r="AM117">
        <v>119.1</v>
      </c>
      <c r="AN117">
        <v>126.4</v>
      </c>
    </row>
    <row r="118" spans="1:40" x14ac:dyDescent="0.25">
      <c r="A118" t="s">
        <v>33</v>
      </c>
      <c r="B118">
        <v>2016</v>
      </c>
      <c r="C118" t="s">
        <v>35</v>
      </c>
      <c r="D118" t="s">
        <v>154</v>
      </c>
      <c r="E118">
        <v>126.5</v>
      </c>
      <c r="F118">
        <v>135.1</v>
      </c>
      <c r="G118">
        <v>124.6</v>
      </c>
      <c r="H118">
        <v>130.19999999999999</v>
      </c>
      <c r="I118">
        <v>114.5</v>
      </c>
      <c r="J118">
        <v>126.2</v>
      </c>
      <c r="K118">
        <v>129.80000000000001</v>
      </c>
      <c r="L118">
        <v>164.3</v>
      </c>
      <c r="M118">
        <v>100.9</v>
      </c>
      <c r="N118">
        <v>133.9</v>
      </c>
      <c r="O118">
        <v>123.1</v>
      </c>
      <c r="P118">
        <v>136.30000000000001</v>
      </c>
      <c r="Q118">
        <v>129.80000000000001</v>
      </c>
      <c r="R118">
        <v>136.5</v>
      </c>
      <c r="S118">
        <v>131.30000000000001</v>
      </c>
      <c r="T118">
        <v>126.1</v>
      </c>
      <c r="U118">
        <v>130.5</v>
      </c>
      <c r="V118">
        <v>124.9</v>
      </c>
      <c r="W118">
        <v>124.9</v>
      </c>
      <c r="X118">
        <v>122.4</v>
      </c>
      <c r="Y118">
        <v>125.1</v>
      </c>
      <c r="Z118">
        <v>122.9</v>
      </c>
      <c r="AA118">
        <v>110.9</v>
      </c>
      <c r="AB118">
        <v>120.6</v>
      </c>
      <c r="AC118">
        <v>126.9</v>
      </c>
      <c r="AD118">
        <v>117.3</v>
      </c>
      <c r="AE118">
        <v>119.3</v>
      </c>
      <c r="AF118">
        <v>126</v>
      </c>
      <c r="AG118">
        <v>1675.2</v>
      </c>
      <c r="AH118">
        <v>136.5</v>
      </c>
      <c r="AI118">
        <v>257.39999999999998</v>
      </c>
      <c r="AJ118">
        <v>609</v>
      </c>
      <c r="AK118">
        <v>122.9</v>
      </c>
      <c r="AL118">
        <v>110.9</v>
      </c>
      <c r="AM118">
        <v>120.6</v>
      </c>
      <c r="AN118">
        <v>126.9</v>
      </c>
    </row>
    <row r="119" spans="1:40" x14ac:dyDescent="0.25">
      <c r="A119" t="s">
        <v>30</v>
      </c>
      <c r="B119">
        <v>2016</v>
      </c>
      <c r="C119" t="s">
        <v>36</v>
      </c>
      <c r="D119" t="s">
        <v>147</v>
      </c>
      <c r="E119">
        <v>127.4</v>
      </c>
      <c r="F119">
        <v>135.4</v>
      </c>
      <c r="G119">
        <v>123.4</v>
      </c>
      <c r="H119">
        <v>131.30000000000001</v>
      </c>
      <c r="I119">
        <v>118.2</v>
      </c>
      <c r="J119">
        <v>138.1</v>
      </c>
      <c r="K119">
        <v>134.1</v>
      </c>
      <c r="L119">
        <v>162.69999999999999</v>
      </c>
      <c r="M119">
        <v>105</v>
      </c>
      <c r="N119">
        <v>131.4</v>
      </c>
      <c r="O119">
        <v>125.4</v>
      </c>
      <c r="P119">
        <v>137.4</v>
      </c>
      <c r="Q119">
        <v>131.80000000000001</v>
      </c>
      <c r="R119">
        <v>135.5</v>
      </c>
      <c r="S119">
        <v>135</v>
      </c>
      <c r="T119">
        <v>130.6</v>
      </c>
      <c r="U119">
        <v>134.4</v>
      </c>
      <c r="V119" t="s">
        <v>47</v>
      </c>
      <c r="W119">
        <v>125.6</v>
      </c>
      <c r="X119">
        <v>127</v>
      </c>
      <c r="Y119">
        <v>128</v>
      </c>
      <c r="Z119">
        <v>125.2</v>
      </c>
      <c r="AA119">
        <v>114.4</v>
      </c>
      <c r="AB119">
        <v>123.2</v>
      </c>
      <c r="AC119">
        <v>127.9</v>
      </c>
      <c r="AD119">
        <v>118.4</v>
      </c>
      <c r="AE119">
        <v>121.7</v>
      </c>
      <c r="AF119">
        <v>129</v>
      </c>
      <c r="AG119">
        <v>1701.6000000000004</v>
      </c>
      <c r="AH119">
        <v>135.5</v>
      </c>
      <c r="AI119">
        <v>265.60000000000002</v>
      </c>
      <c r="AJ119">
        <v>620.70000000000005</v>
      </c>
      <c r="AK119">
        <v>125.2</v>
      </c>
      <c r="AL119">
        <v>114.4</v>
      </c>
      <c r="AM119">
        <v>123.2</v>
      </c>
      <c r="AN119">
        <v>127.9</v>
      </c>
    </row>
    <row r="120" spans="1:40" x14ac:dyDescent="0.25">
      <c r="A120" t="s">
        <v>32</v>
      </c>
      <c r="B120">
        <v>2016</v>
      </c>
      <c r="C120" t="s">
        <v>36</v>
      </c>
      <c r="D120" t="s">
        <v>147</v>
      </c>
      <c r="E120">
        <v>124.9</v>
      </c>
      <c r="F120">
        <v>139.30000000000001</v>
      </c>
      <c r="G120">
        <v>119.9</v>
      </c>
      <c r="H120">
        <v>130.19999999999999</v>
      </c>
      <c r="I120">
        <v>108.9</v>
      </c>
      <c r="J120">
        <v>131.1</v>
      </c>
      <c r="K120">
        <v>136.80000000000001</v>
      </c>
      <c r="L120">
        <v>176.9</v>
      </c>
      <c r="M120">
        <v>109.1</v>
      </c>
      <c r="N120">
        <v>140.4</v>
      </c>
      <c r="O120">
        <v>121.1</v>
      </c>
      <c r="P120">
        <v>135.9</v>
      </c>
      <c r="Q120">
        <v>131.80000000000001</v>
      </c>
      <c r="R120">
        <v>141.5</v>
      </c>
      <c r="S120">
        <v>126.8</v>
      </c>
      <c r="T120">
        <v>120.5</v>
      </c>
      <c r="U120">
        <v>125.8</v>
      </c>
      <c r="V120">
        <v>125.6</v>
      </c>
      <c r="W120">
        <v>125.6</v>
      </c>
      <c r="X120">
        <v>114.6</v>
      </c>
      <c r="Y120">
        <v>122.8</v>
      </c>
      <c r="Z120">
        <v>120</v>
      </c>
      <c r="AA120">
        <v>110</v>
      </c>
      <c r="AB120">
        <v>119.5</v>
      </c>
      <c r="AC120">
        <v>127.6</v>
      </c>
      <c r="AD120">
        <v>117.6</v>
      </c>
      <c r="AE120">
        <v>118.2</v>
      </c>
      <c r="AF120">
        <v>125.3</v>
      </c>
      <c r="AG120">
        <v>1706.3</v>
      </c>
      <c r="AH120">
        <v>141.5</v>
      </c>
      <c r="AI120">
        <v>247.3</v>
      </c>
      <c r="AJ120">
        <v>598.80000000000007</v>
      </c>
      <c r="AK120">
        <v>120</v>
      </c>
      <c r="AL120">
        <v>110</v>
      </c>
      <c r="AM120">
        <v>119.5</v>
      </c>
      <c r="AN120">
        <v>127.6</v>
      </c>
    </row>
    <row r="121" spans="1:40" x14ac:dyDescent="0.25">
      <c r="A121" t="s">
        <v>33</v>
      </c>
      <c r="B121">
        <v>2016</v>
      </c>
      <c r="C121" t="s">
        <v>36</v>
      </c>
      <c r="D121" t="s">
        <v>147</v>
      </c>
      <c r="E121">
        <v>126.6</v>
      </c>
      <c r="F121">
        <v>136.80000000000001</v>
      </c>
      <c r="G121">
        <v>122</v>
      </c>
      <c r="H121">
        <v>130.9</v>
      </c>
      <c r="I121">
        <v>114.8</v>
      </c>
      <c r="J121">
        <v>134.80000000000001</v>
      </c>
      <c r="K121">
        <v>135</v>
      </c>
      <c r="L121">
        <v>167.5</v>
      </c>
      <c r="M121">
        <v>106.4</v>
      </c>
      <c r="N121">
        <v>134.4</v>
      </c>
      <c r="O121">
        <v>123.6</v>
      </c>
      <c r="P121">
        <v>136.69999999999999</v>
      </c>
      <c r="Q121">
        <v>131.80000000000001</v>
      </c>
      <c r="R121">
        <v>137.1</v>
      </c>
      <c r="S121">
        <v>131.80000000000001</v>
      </c>
      <c r="T121">
        <v>126.4</v>
      </c>
      <c r="U121">
        <v>131</v>
      </c>
      <c r="V121">
        <v>125.6</v>
      </c>
      <c r="W121">
        <v>125.6</v>
      </c>
      <c r="X121">
        <v>122.3</v>
      </c>
      <c r="Y121">
        <v>125.5</v>
      </c>
      <c r="Z121">
        <v>123.2</v>
      </c>
      <c r="AA121">
        <v>112.1</v>
      </c>
      <c r="AB121">
        <v>121.1</v>
      </c>
      <c r="AC121">
        <v>127.7</v>
      </c>
      <c r="AD121">
        <v>118.1</v>
      </c>
      <c r="AE121">
        <v>120</v>
      </c>
      <c r="AF121">
        <v>127.3</v>
      </c>
      <c r="AG121">
        <v>1701.3</v>
      </c>
      <c r="AH121">
        <v>137.1</v>
      </c>
      <c r="AI121">
        <v>258.20000000000005</v>
      </c>
      <c r="AJ121">
        <v>611.5</v>
      </c>
      <c r="AK121">
        <v>123.2</v>
      </c>
      <c r="AL121">
        <v>112.1</v>
      </c>
      <c r="AM121">
        <v>121.1</v>
      </c>
      <c r="AN121">
        <v>127.7</v>
      </c>
    </row>
    <row r="122" spans="1:40" x14ac:dyDescent="0.25">
      <c r="A122" t="s">
        <v>30</v>
      </c>
      <c r="B122">
        <v>2016</v>
      </c>
      <c r="C122" t="s">
        <v>37</v>
      </c>
      <c r="D122" t="s">
        <v>155</v>
      </c>
      <c r="E122">
        <v>127.6</v>
      </c>
      <c r="F122">
        <v>137.5</v>
      </c>
      <c r="G122">
        <v>124.4</v>
      </c>
      <c r="H122">
        <v>132.4</v>
      </c>
      <c r="I122">
        <v>118.2</v>
      </c>
      <c r="J122">
        <v>138.1</v>
      </c>
      <c r="K122">
        <v>141.80000000000001</v>
      </c>
      <c r="L122">
        <v>166</v>
      </c>
      <c r="M122">
        <v>107.5</v>
      </c>
      <c r="N122">
        <v>132.19999999999999</v>
      </c>
      <c r="O122">
        <v>126.1</v>
      </c>
      <c r="P122">
        <v>138.30000000000001</v>
      </c>
      <c r="Q122">
        <v>133.6</v>
      </c>
      <c r="R122">
        <v>136</v>
      </c>
      <c r="S122">
        <v>135.4</v>
      </c>
      <c r="T122">
        <v>131.1</v>
      </c>
      <c r="U122">
        <v>134.80000000000001</v>
      </c>
      <c r="V122" t="s">
        <v>47</v>
      </c>
      <c r="W122">
        <v>126</v>
      </c>
      <c r="X122">
        <v>127.4</v>
      </c>
      <c r="Y122">
        <v>128.5</v>
      </c>
      <c r="Z122">
        <v>125.8</v>
      </c>
      <c r="AA122">
        <v>115.1</v>
      </c>
      <c r="AB122">
        <v>123.6</v>
      </c>
      <c r="AC122">
        <v>129.1</v>
      </c>
      <c r="AD122">
        <v>119.7</v>
      </c>
      <c r="AE122">
        <v>122.5</v>
      </c>
      <c r="AF122">
        <v>130.30000000000001</v>
      </c>
      <c r="AG122">
        <v>1723.6999999999998</v>
      </c>
      <c r="AH122">
        <v>136</v>
      </c>
      <c r="AI122">
        <v>266.5</v>
      </c>
      <c r="AJ122">
        <v>624.09999999999991</v>
      </c>
      <c r="AK122">
        <v>125.8</v>
      </c>
      <c r="AL122">
        <v>115.1</v>
      </c>
      <c r="AM122">
        <v>123.6</v>
      </c>
      <c r="AN122">
        <v>129.1</v>
      </c>
    </row>
    <row r="123" spans="1:40" x14ac:dyDescent="0.25">
      <c r="A123" t="s">
        <v>32</v>
      </c>
      <c r="B123">
        <v>2016</v>
      </c>
      <c r="C123" t="s">
        <v>37</v>
      </c>
      <c r="D123" t="s">
        <v>155</v>
      </c>
      <c r="E123">
        <v>125</v>
      </c>
      <c r="F123">
        <v>142.1</v>
      </c>
      <c r="G123">
        <v>127</v>
      </c>
      <c r="H123">
        <v>130.4</v>
      </c>
      <c r="I123">
        <v>109.6</v>
      </c>
      <c r="J123">
        <v>133.5</v>
      </c>
      <c r="K123">
        <v>151.4</v>
      </c>
      <c r="L123">
        <v>182.8</v>
      </c>
      <c r="M123">
        <v>111.1</v>
      </c>
      <c r="N123">
        <v>141.5</v>
      </c>
      <c r="O123">
        <v>121.5</v>
      </c>
      <c r="P123">
        <v>136.30000000000001</v>
      </c>
      <c r="Q123">
        <v>134.6</v>
      </c>
      <c r="R123">
        <v>142.19999999999999</v>
      </c>
      <c r="S123">
        <v>127.2</v>
      </c>
      <c r="T123">
        <v>120.7</v>
      </c>
      <c r="U123">
        <v>126.2</v>
      </c>
      <c r="V123">
        <v>126</v>
      </c>
      <c r="W123">
        <v>126</v>
      </c>
      <c r="X123">
        <v>115</v>
      </c>
      <c r="Y123">
        <v>123.2</v>
      </c>
      <c r="Z123">
        <v>120.3</v>
      </c>
      <c r="AA123">
        <v>110.7</v>
      </c>
      <c r="AB123">
        <v>119.8</v>
      </c>
      <c r="AC123">
        <v>128</v>
      </c>
      <c r="AD123">
        <v>118.5</v>
      </c>
      <c r="AE123">
        <v>118.7</v>
      </c>
      <c r="AF123">
        <v>126.6</v>
      </c>
      <c r="AG123">
        <v>1746.7999999999997</v>
      </c>
      <c r="AH123">
        <v>142.19999999999999</v>
      </c>
      <c r="AI123">
        <v>247.9</v>
      </c>
      <c r="AJ123">
        <v>601.4</v>
      </c>
      <c r="AK123">
        <v>120.3</v>
      </c>
      <c r="AL123">
        <v>110.7</v>
      </c>
      <c r="AM123">
        <v>119.8</v>
      </c>
      <c r="AN123">
        <v>128</v>
      </c>
    </row>
    <row r="124" spans="1:40" x14ac:dyDescent="0.25">
      <c r="A124" t="s">
        <v>33</v>
      </c>
      <c r="B124">
        <v>2016</v>
      </c>
      <c r="C124" t="s">
        <v>37</v>
      </c>
      <c r="D124" t="s">
        <v>155</v>
      </c>
      <c r="E124">
        <v>126.8</v>
      </c>
      <c r="F124">
        <v>139.1</v>
      </c>
      <c r="G124">
        <v>125.4</v>
      </c>
      <c r="H124">
        <v>131.69999999999999</v>
      </c>
      <c r="I124">
        <v>115</v>
      </c>
      <c r="J124">
        <v>136</v>
      </c>
      <c r="K124">
        <v>145.1</v>
      </c>
      <c r="L124">
        <v>171.7</v>
      </c>
      <c r="M124">
        <v>108.7</v>
      </c>
      <c r="N124">
        <v>135.30000000000001</v>
      </c>
      <c r="O124">
        <v>124.2</v>
      </c>
      <c r="P124">
        <v>137.4</v>
      </c>
      <c r="Q124">
        <v>134</v>
      </c>
      <c r="R124">
        <v>137.69999999999999</v>
      </c>
      <c r="S124">
        <v>132.19999999999999</v>
      </c>
      <c r="T124">
        <v>126.8</v>
      </c>
      <c r="U124">
        <v>131.4</v>
      </c>
      <c r="V124">
        <v>126</v>
      </c>
      <c r="W124">
        <v>126</v>
      </c>
      <c r="X124">
        <v>122.7</v>
      </c>
      <c r="Y124">
        <v>126</v>
      </c>
      <c r="Z124">
        <v>123.7</v>
      </c>
      <c r="AA124">
        <v>112.8</v>
      </c>
      <c r="AB124">
        <v>121.5</v>
      </c>
      <c r="AC124">
        <v>128.5</v>
      </c>
      <c r="AD124">
        <v>119.2</v>
      </c>
      <c r="AE124">
        <v>120.7</v>
      </c>
      <c r="AF124">
        <v>128.6</v>
      </c>
      <c r="AG124">
        <v>1730.4</v>
      </c>
      <c r="AH124">
        <v>137.69999999999999</v>
      </c>
      <c r="AI124">
        <v>259</v>
      </c>
      <c r="AJ124">
        <v>614.6</v>
      </c>
      <c r="AK124">
        <v>123.7</v>
      </c>
      <c r="AL124">
        <v>112.8</v>
      </c>
      <c r="AM124">
        <v>121.5</v>
      </c>
      <c r="AN124">
        <v>128.5</v>
      </c>
    </row>
    <row r="125" spans="1:40" x14ac:dyDescent="0.25">
      <c r="A125" t="s">
        <v>30</v>
      </c>
      <c r="B125">
        <v>2016</v>
      </c>
      <c r="C125" t="s">
        <v>38</v>
      </c>
      <c r="D125" t="s">
        <v>153</v>
      </c>
      <c r="E125">
        <v>128.6</v>
      </c>
      <c r="F125">
        <v>138.6</v>
      </c>
      <c r="G125">
        <v>126.6</v>
      </c>
      <c r="H125">
        <v>133.6</v>
      </c>
      <c r="I125">
        <v>118.6</v>
      </c>
      <c r="J125">
        <v>137.4</v>
      </c>
      <c r="K125">
        <v>152.5</v>
      </c>
      <c r="L125">
        <v>169.2</v>
      </c>
      <c r="M125">
        <v>108.8</v>
      </c>
      <c r="N125">
        <v>133.1</v>
      </c>
      <c r="O125">
        <v>126.4</v>
      </c>
      <c r="P125">
        <v>139.19999999999999</v>
      </c>
      <c r="Q125">
        <v>136</v>
      </c>
      <c r="R125">
        <v>137.19999999999999</v>
      </c>
      <c r="S125">
        <v>136.30000000000001</v>
      </c>
      <c r="T125">
        <v>131.6</v>
      </c>
      <c r="U125">
        <v>135.6</v>
      </c>
      <c r="V125" t="s">
        <v>47</v>
      </c>
      <c r="W125">
        <v>125.5</v>
      </c>
      <c r="X125">
        <v>128</v>
      </c>
      <c r="Y125">
        <v>129.30000000000001</v>
      </c>
      <c r="Z125">
        <v>126.2</v>
      </c>
      <c r="AA125">
        <v>116.3</v>
      </c>
      <c r="AB125">
        <v>124.1</v>
      </c>
      <c r="AC125">
        <v>130.19999999999999</v>
      </c>
      <c r="AD125">
        <v>119.9</v>
      </c>
      <c r="AE125">
        <v>123.3</v>
      </c>
      <c r="AF125">
        <v>131.9</v>
      </c>
      <c r="AG125">
        <v>1748.6</v>
      </c>
      <c r="AH125">
        <v>137.19999999999999</v>
      </c>
      <c r="AI125">
        <v>267.89999999999998</v>
      </c>
      <c r="AJ125">
        <v>626</v>
      </c>
      <c r="AK125">
        <v>126.2</v>
      </c>
      <c r="AL125">
        <v>116.3</v>
      </c>
      <c r="AM125">
        <v>124.1</v>
      </c>
      <c r="AN125">
        <v>130.19999999999999</v>
      </c>
    </row>
    <row r="126" spans="1:40" x14ac:dyDescent="0.25">
      <c r="A126" t="s">
        <v>32</v>
      </c>
      <c r="B126">
        <v>2016</v>
      </c>
      <c r="C126" t="s">
        <v>38</v>
      </c>
      <c r="D126" t="s">
        <v>153</v>
      </c>
      <c r="E126">
        <v>125.9</v>
      </c>
      <c r="F126">
        <v>143.9</v>
      </c>
      <c r="G126">
        <v>130.9</v>
      </c>
      <c r="H126">
        <v>131</v>
      </c>
      <c r="I126">
        <v>110.2</v>
      </c>
      <c r="J126">
        <v>135.5</v>
      </c>
      <c r="K126">
        <v>173.7</v>
      </c>
      <c r="L126">
        <v>184.4</v>
      </c>
      <c r="M126">
        <v>112</v>
      </c>
      <c r="N126">
        <v>142.80000000000001</v>
      </c>
      <c r="O126">
        <v>121.6</v>
      </c>
      <c r="P126">
        <v>136.9</v>
      </c>
      <c r="Q126">
        <v>138.19999999999999</v>
      </c>
      <c r="R126">
        <v>142.69999999999999</v>
      </c>
      <c r="S126">
        <v>127.6</v>
      </c>
      <c r="T126">
        <v>121.1</v>
      </c>
      <c r="U126">
        <v>126.6</v>
      </c>
      <c r="V126">
        <v>125.5</v>
      </c>
      <c r="W126">
        <v>125.5</v>
      </c>
      <c r="X126">
        <v>115.5</v>
      </c>
      <c r="Y126">
        <v>123.2</v>
      </c>
      <c r="Z126">
        <v>120.6</v>
      </c>
      <c r="AA126">
        <v>112.3</v>
      </c>
      <c r="AB126">
        <v>119.9</v>
      </c>
      <c r="AC126">
        <v>129.30000000000001</v>
      </c>
      <c r="AD126">
        <v>118.8</v>
      </c>
      <c r="AE126">
        <v>119.6</v>
      </c>
      <c r="AF126">
        <v>128.1</v>
      </c>
      <c r="AG126">
        <v>1787.0000000000002</v>
      </c>
      <c r="AH126">
        <v>142.69999999999999</v>
      </c>
      <c r="AI126">
        <v>248.7</v>
      </c>
      <c r="AJ126">
        <v>602.6</v>
      </c>
      <c r="AK126">
        <v>120.6</v>
      </c>
      <c r="AL126">
        <v>112.3</v>
      </c>
      <c r="AM126">
        <v>119.9</v>
      </c>
      <c r="AN126">
        <v>129.30000000000001</v>
      </c>
    </row>
    <row r="127" spans="1:40" x14ac:dyDescent="0.25">
      <c r="A127" t="s">
        <v>33</v>
      </c>
      <c r="B127">
        <v>2016</v>
      </c>
      <c r="C127" t="s">
        <v>38</v>
      </c>
      <c r="D127" t="s">
        <v>153</v>
      </c>
      <c r="E127">
        <v>127.7</v>
      </c>
      <c r="F127">
        <v>140.5</v>
      </c>
      <c r="G127">
        <v>128.30000000000001</v>
      </c>
      <c r="H127">
        <v>132.6</v>
      </c>
      <c r="I127">
        <v>115.5</v>
      </c>
      <c r="J127">
        <v>136.5</v>
      </c>
      <c r="K127">
        <v>159.69999999999999</v>
      </c>
      <c r="L127">
        <v>174.3</v>
      </c>
      <c r="M127">
        <v>109.9</v>
      </c>
      <c r="N127">
        <v>136.30000000000001</v>
      </c>
      <c r="O127">
        <v>124.4</v>
      </c>
      <c r="P127">
        <v>138.1</v>
      </c>
      <c r="Q127">
        <v>136.80000000000001</v>
      </c>
      <c r="R127">
        <v>138.69999999999999</v>
      </c>
      <c r="S127">
        <v>132.9</v>
      </c>
      <c r="T127">
        <v>127.2</v>
      </c>
      <c r="U127">
        <v>132</v>
      </c>
      <c r="V127">
        <v>125.5</v>
      </c>
      <c r="W127">
        <v>125.5</v>
      </c>
      <c r="X127">
        <v>123.3</v>
      </c>
      <c r="Y127">
        <v>126.4</v>
      </c>
      <c r="Z127">
        <v>124.1</v>
      </c>
      <c r="AA127">
        <v>114.2</v>
      </c>
      <c r="AB127">
        <v>121.7</v>
      </c>
      <c r="AC127">
        <v>129.69999999999999</v>
      </c>
      <c r="AD127">
        <v>119.4</v>
      </c>
      <c r="AE127">
        <v>121.5</v>
      </c>
      <c r="AF127">
        <v>130.1</v>
      </c>
      <c r="AG127">
        <v>1760.6</v>
      </c>
      <c r="AH127">
        <v>138.69999999999999</v>
      </c>
      <c r="AI127">
        <v>260.10000000000002</v>
      </c>
      <c r="AJ127">
        <v>616.1</v>
      </c>
      <c r="AK127">
        <v>124.1</v>
      </c>
      <c r="AL127">
        <v>114.2</v>
      </c>
      <c r="AM127">
        <v>121.7</v>
      </c>
      <c r="AN127">
        <v>129.69999999999999</v>
      </c>
    </row>
    <row r="128" spans="1:40" x14ac:dyDescent="0.25">
      <c r="A128" t="s">
        <v>30</v>
      </c>
      <c r="B128">
        <v>2016</v>
      </c>
      <c r="C128" t="s">
        <v>39</v>
      </c>
      <c r="D128" t="s">
        <v>152</v>
      </c>
      <c r="E128">
        <v>129.30000000000001</v>
      </c>
      <c r="F128">
        <v>139.5</v>
      </c>
      <c r="G128">
        <v>129.6</v>
      </c>
      <c r="H128">
        <v>134.5</v>
      </c>
      <c r="I128">
        <v>119.5</v>
      </c>
      <c r="J128">
        <v>138.5</v>
      </c>
      <c r="K128">
        <v>158.19999999999999</v>
      </c>
      <c r="L128">
        <v>171.8</v>
      </c>
      <c r="M128">
        <v>110.3</v>
      </c>
      <c r="N128">
        <v>134.30000000000001</v>
      </c>
      <c r="O128">
        <v>127.3</v>
      </c>
      <c r="P128">
        <v>139.9</v>
      </c>
      <c r="Q128">
        <v>137.6</v>
      </c>
      <c r="R128">
        <v>138</v>
      </c>
      <c r="S128">
        <v>137.19999999999999</v>
      </c>
      <c r="T128">
        <v>132.19999999999999</v>
      </c>
      <c r="U128">
        <v>136.5</v>
      </c>
      <c r="V128" t="s">
        <v>47</v>
      </c>
      <c r="W128">
        <v>126.4</v>
      </c>
      <c r="X128">
        <v>128.19999999999999</v>
      </c>
      <c r="Y128">
        <v>130</v>
      </c>
      <c r="Z128">
        <v>126.7</v>
      </c>
      <c r="AA128">
        <v>116.4</v>
      </c>
      <c r="AB128">
        <v>125.2</v>
      </c>
      <c r="AC128">
        <v>130.80000000000001</v>
      </c>
      <c r="AD128">
        <v>120.9</v>
      </c>
      <c r="AE128">
        <v>123.8</v>
      </c>
      <c r="AF128">
        <v>133</v>
      </c>
      <c r="AG128">
        <v>1770.2999999999997</v>
      </c>
      <c r="AH128">
        <v>138</v>
      </c>
      <c r="AI128">
        <v>269.39999999999998</v>
      </c>
      <c r="AJ128">
        <v>629.29999999999995</v>
      </c>
      <c r="AK128">
        <v>126.7</v>
      </c>
      <c r="AL128">
        <v>116.4</v>
      </c>
      <c r="AM128">
        <v>125.2</v>
      </c>
      <c r="AN128">
        <v>130.80000000000001</v>
      </c>
    </row>
    <row r="129" spans="1:40" x14ac:dyDescent="0.25">
      <c r="A129" t="s">
        <v>32</v>
      </c>
      <c r="B129">
        <v>2016</v>
      </c>
      <c r="C129" t="s">
        <v>39</v>
      </c>
      <c r="D129" t="s">
        <v>152</v>
      </c>
      <c r="E129">
        <v>126.8</v>
      </c>
      <c r="F129">
        <v>144.19999999999999</v>
      </c>
      <c r="G129">
        <v>136.6</v>
      </c>
      <c r="H129">
        <v>131.80000000000001</v>
      </c>
      <c r="I129">
        <v>111</v>
      </c>
      <c r="J129">
        <v>137</v>
      </c>
      <c r="K129">
        <v>179.5</v>
      </c>
      <c r="L129">
        <v>188.4</v>
      </c>
      <c r="M129">
        <v>113.3</v>
      </c>
      <c r="N129">
        <v>143.9</v>
      </c>
      <c r="O129">
        <v>121.7</v>
      </c>
      <c r="P129">
        <v>137.5</v>
      </c>
      <c r="Q129">
        <v>139.80000000000001</v>
      </c>
      <c r="R129">
        <v>142.9</v>
      </c>
      <c r="S129">
        <v>127.9</v>
      </c>
      <c r="T129">
        <v>121.1</v>
      </c>
      <c r="U129">
        <v>126.9</v>
      </c>
      <c r="V129">
        <v>126.4</v>
      </c>
      <c r="W129">
        <v>126.4</v>
      </c>
      <c r="X129">
        <v>115.5</v>
      </c>
      <c r="Y129">
        <v>123.5</v>
      </c>
      <c r="Z129">
        <v>120.9</v>
      </c>
      <c r="AA129">
        <v>111.7</v>
      </c>
      <c r="AB129">
        <v>120.3</v>
      </c>
      <c r="AC129">
        <v>130.80000000000001</v>
      </c>
      <c r="AD129">
        <v>120</v>
      </c>
      <c r="AE129">
        <v>119.9</v>
      </c>
      <c r="AF129">
        <v>129</v>
      </c>
      <c r="AG129">
        <v>1811.5000000000002</v>
      </c>
      <c r="AH129">
        <v>142.9</v>
      </c>
      <c r="AI129">
        <v>249</v>
      </c>
      <c r="AJ129">
        <v>605.29999999999995</v>
      </c>
      <c r="AK129">
        <v>120.9</v>
      </c>
      <c r="AL129">
        <v>111.7</v>
      </c>
      <c r="AM129">
        <v>120.3</v>
      </c>
      <c r="AN129">
        <v>130.80000000000001</v>
      </c>
    </row>
    <row r="130" spans="1:40" x14ac:dyDescent="0.25">
      <c r="A130" t="s">
        <v>33</v>
      </c>
      <c r="B130">
        <v>2016</v>
      </c>
      <c r="C130" t="s">
        <v>39</v>
      </c>
      <c r="D130" t="s">
        <v>152</v>
      </c>
      <c r="E130">
        <v>128.5</v>
      </c>
      <c r="F130">
        <v>141.19999999999999</v>
      </c>
      <c r="G130">
        <v>132.30000000000001</v>
      </c>
      <c r="H130">
        <v>133.5</v>
      </c>
      <c r="I130">
        <v>116.4</v>
      </c>
      <c r="J130">
        <v>137.80000000000001</v>
      </c>
      <c r="K130">
        <v>165.4</v>
      </c>
      <c r="L130">
        <v>177.4</v>
      </c>
      <c r="M130">
        <v>111.3</v>
      </c>
      <c r="N130">
        <v>137.5</v>
      </c>
      <c r="O130">
        <v>125</v>
      </c>
      <c r="P130">
        <v>138.80000000000001</v>
      </c>
      <c r="Q130">
        <v>138.4</v>
      </c>
      <c r="R130">
        <v>139.30000000000001</v>
      </c>
      <c r="S130">
        <v>133.5</v>
      </c>
      <c r="T130">
        <v>127.6</v>
      </c>
      <c r="U130">
        <v>132.69999999999999</v>
      </c>
      <c r="V130">
        <v>126.4</v>
      </c>
      <c r="W130">
        <v>126.4</v>
      </c>
      <c r="X130">
        <v>123.4</v>
      </c>
      <c r="Y130">
        <v>126.9</v>
      </c>
      <c r="Z130">
        <v>124.5</v>
      </c>
      <c r="AA130">
        <v>113.9</v>
      </c>
      <c r="AB130">
        <v>122.4</v>
      </c>
      <c r="AC130">
        <v>130.80000000000001</v>
      </c>
      <c r="AD130">
        <v>120.5</v>
      </c>
      <c r="AE130">
        <v>121.9</v>
      </c>
      <c r="AF130">
        <v>131.1</v>
      </c>
      <c r="AG130">
        <v>1783.5</v>
      </c>
      <c r="AH130">
        <v>139.30000000000001</v>
      </c>
      <c r="AI130">
        <v>261.10000000000002</v>
      </c>
      <c r="AJ130">
        <v>619.1</v>
      </c>
      <c r="AK130">
        <v>124.5</v>
      </c>
      <c r="AL130">
        <v>113.9</v>
      </c>
      <c r="AM130">
        <v>122.4</v>
      </c>
      <c r="AN130">
        <v>130.80000000000001</v>
      </c>
    </row>
    <row r="131" spans="1:40" x14ac:dyDescent="0.25">
      <c r="A131" t="s">
        <v>30</v>
      </c>
      <c r="B131">
        <v>2016</v>
      </c>
      <c r="C131" t="s">
        <v>40</v>
      </c>
      <c r="D131" t="s">
        <v>148</v>
      </c>
      <c r="E131">
        <v>130.1</v>
      </c>
      <c r="F131">
        <v>138.80000000000001</v>
      </c>
      <c r="G131">
        <v>130.30000000000001</v>
      </c>
      <c r="H131">
        <v>135.30000000000001</v>
      </c>
      <c r="I131">
        <v>119.9</v>
      </c>
      <c r="J131">
        <v>140.19999999999999</v>
      </c>
      <c r="K131">
        <v>156.9</v>
      </c>
      <c r="L131">
        <v>172.2</v>
      </c>
      <c r="M131">
        <v>112.1</v>
      </c>
      <c r="N131">
        <v>134.9</v>
      </c>
      <c r="O131">
        <v>128.1</v>
      </c>
      <c r="P131">
        <v>140.69999999999999</v>
      </c>
      <c r="Q131">
        <v>138</v>
      </c>
      <c r="R131">
        <v>138.9</v>
      </c>
      <c r="S131">
        <v>137.80000000000001</v>
      </c>
      <c r="T131">
        <v>133</v>
      </c>
      <c r="U131">
        <v>137.1</v>
      </c>
      <c r="V131" t="s">
        <v>47</v>
      </c>
      <c r="W131">
        <v>127.3</v>
      </c>
      <c r="X131">
        <v>129.1</v>
      </c>
      <c r="Y131">
        <v>130.6</v>
      </c>
      <c r="Z131">
        <v>127</v>
      </c>
      <c r="AA131">
        <v>116</v>
      </c>
      <c r="AB131">
        <v>125.5</v>
      </c>
      <c r="AC131">
        <v>131.9</v>
      </c>
      <c r="AD131">
        <v>122</v>
      </c>
      <c r="AE131">
        <v>124.2</v>
      </c>
      <c r="AF131">
        <v>133.5</v>
      </c>
      <c r="AG131">
        <v>1777.4999999999998</v>
      </c>
      <c r="AH131">
        <v>138.9</v>
      </c>
      <c r="AI131">
        <v>270.8</v>
      </c>
      <c r="AJ131">
        <v>633.20000000000005</v>
      </c>
      <c r="AK131">
        <v>127</v>
      </c>
      <c r="AL131">
        <v>116</v>
      </c>
      <c r="AM131">
        <v>125.5</v>
      </c>
      <c r="AN131">
        <v>131.9</v>
      </c>
    </row>
    <row r="132" spans="1:40" x14ac:dyDescent="0.25">
      <c r="A132" t="s">
        <v>32</v>
      </c>
      <c r="B132">
        <v>2016</v>
      </c>
      <c r="C132" t="s">
        <v>40</v>
      </c>
      <c r="D132" t="s">
        <v>148</v>
      </c>
      <c r="E132">
        <v>127.6</v>
      </c>
      <c r="F132">
        <v>140.30000000000001</v>
      </c>
      <c r="G132">
        <v>133.69999999999999</v>
      </c>
      <c r="H132">
        <v>132.19999999999999</v>
      </c>
      <c r="I132">
        <v>111.8</v>
      </c>
      <c r="J132">
        <v>135.80000000000001</v>
      </c>
      <c r="K132">
        <v>163.5</v>
      </c>
      <c r="L132">
        <v>182.3</v>
      </c>
      <c r="M132">
        <v>114.6</v>
      </c>
      <c r="N132">
        <v>144.6</v>
      </c>
      <c r="O132">
        <v>121.9</v>
      </c>
      <c r="P132">
        <v>138.1</v>
      </c>
      <c r="Q132">
        <v>137.6</v>
      </c>
      <c r="R132">
        <v>143.6</v>
      </c>
      <c r="S132">
        <v>128.30000000000001</v>
      </c>
      <c r="T132">
        <v>121.4</v>
      </c>
      <c r="U132">
        <v>127.3</v>
      </c>
      <c r="V132">
        <v>127.3</v>
      </c>
      <c r="W132">
        <v>127.3</v>
      </c>
      <c r="X132">
        <v>114.7</v>
      </c>
      <c r="Y132">
        <v>123.9</v>
      </c>
      <c r="Z132">
        <v>121.2</v>
      </c>
      <c r="AA132">
        <v>110.4</v>
      </c>
      <c r="AB132">
        <v>120.6</v>
      </c>
      <c r="AC132">
        <v>131.5</v>
      </c>
      <c r="AD132">
        <v>120.9</v>
      </c>
      <c r="AE132">
        <v>119.9</v>
      </c>
      <c r="AF132">
        <v>128.4</v>
      </c>
      <c r="AG132">
        <v>1783.9999999999995</v>
      </c>
      <c r="AH132">
        <v>143.6</v>
      </c>
      <c r="AI132">
        <v>249.70000000000002</v>
      </c>
      <c r="AJ132">
        <v>606.69999999999993</v>
      </c>
      <c r="AK132">
        <v>121.2</v>
      </c>
      <c r="AL132">
        <v>110.4</v>
      </c>
      <c r="AM132">
        <v>120.6</v>
      </c>
      <c r="AN132">
        <v>131.5</v>
      </c>
    </row>
    <row r="133" spans="1:40" x14ac:dyDescent="0.25">
      <c r="A133" t="s">
        <v>33</v>
      </c>
      <c r="B133">
        <v>2016</v>
      </c>
      <c r="C133" t="s">
        <v>40</v>
      </c>
      <c r="D133" t="s">
        <v>148</v>
      </c>
      <c r="E133">
        <v>129.30000000000001</v>
      </c>
      <c r="F133">
        <v>139.30000000000001</v>
      </c>
      <c r="G133">
        <v>131.6</v>
      </c>
      <c r="H133">
        <v>134.1</v>
      </c>
      <c r="I133">
        <v>116.9</v>
      </c>
      <c r="J133">
        <v>138.1</v>
      </c>
      <c r="K133">
        <v>159.1</v>
      </c>
      <c r="L133">
        <v>175.6</v>
      </c>
      <c r="M133">
        <v>112.9</v>
      </c>
      <c r="N133">
        <v>138.1</v>
      </c>
      <c r="O133">
        <v>125.5</v>
      </c>
      <c r="P133">
        <v>139.5</v>
      </c>
      <c r="Q133">
        <v>137.9</v>
      </c>
      <c r="R133">
        <v>140.19999999999999</v>
      </c>
      <c r="S133">
        <v>134.1</v>
      </c>
      <c r="T133">
        <v>128.19999999999999</v>
      </c>
      <c r="U133">
        <v>133.19999999999999</v>
      </c>
      <c r="V133">
        <v>127.3</v>
      </c>
      <c r="W133">
        <v>127.3</v>
      </c>
      <c r="X133">
        <v>123.6</v>
      </c>
      <c r="Y133">
        <v>127.4</v>
      </c>
      <c r="Z133">
        <v>124.8</v>
      </c>
      <c r="AA133">
        <v>113.1</v>
      </c>
      <c r="AB133">
        <v>122.7</v>
      </c>
      <c r="AC133">
        <v>131.69999999999999</v>
      </c>
      <c r="AD133">
        <v>121.5</v>
      </c>
      <c r="AE133">
        <v>122.1</v>
      </c>
      <c r="AF133">
        <v>131.1</v>
      </c>
      <c r="AG133">
        <v>1777.9</v>
      </c>
      <c r="AH133">
        <v>140.19999999999999</v>
      </c>
      <c r="AI133">
        <v>262.29999999999995</v>
      </c>
      <c r="AJ133">
        <v>621.9</v>
      </c>
      <c r="AK133">
        <v>124.8</v>
      </c>
      <c r="AL133">
        <v>113.1</v>
      </c>
      <c r="AM133">
        <v>122.7</v>
      </c>
      <c r="AN133">
        <v>131.69999999999999</v>
      </c>
    </row>
    <row r="134" spans="1:40" x14ac:dyDescent="0.25">
      <c r="A134" t="s">
        <v>30</v>
      </c>
      <c r="B134">
        <v>2016</v>
      </c>
      <c r="C134" t="s">
        <v>41</v>
      </c>
      <c r="D134" t="s">
        <v>158</v>
      </c>
      <c r="E134">
        <v>130.80000000000001</v>
      </c>
      <c r="F134">
        <v>138.19999999999999</v>
      </c>
      <c r="G134">
        <v>130.5</v>
      </c>
      <c r="H134">
        <v>135.5</v>
      </c>
      <c r="I134">
        <v>120.2</v>
      </c>
      <c r="J134">
        <v>139.19999999999999</v>
      </c>
      <c r="K134">
        <v>149.5</v>
      </c>
      <c r="L134">
        <v>170.4</v>
      </c>
      <c r="M134">
        <v>113.1</v>
      </c>
      <c r="N134">
        <v>135.80000000000001</v>
      </c>
      <c r="O134">
        <v>128.80000000000001</v>
      </c>
      <c r="P134">
        <v>141.5</v>
      </c>
      <c r="Q134">
        <v>137.19999999999999</v>
      </c>
      <c r="R134">
        <v>139.9</v>
      </c>
      <c r="S134">
        <v>138.5</v>
      </c>
      <c r="T134">
        <v>133.5</v>
      </c>
      <c r="U134">
        <v>137.80000000000001</v>
      </c>
      <c r="V134" t="s">
        <v>47</v>
      </c>
      <c r="W134">
        <v>127.9</v>
      </c>
      <c r="X134">
        <v>129.69999999999999</v>
      </c>
      <c r="Y134">
        <v>131.1</v>
      </c>
      <c r="Z134">
        <v>127.8</v>
      </c>
      <c r="AA134">
        <v>117</v>
      </c>
      <c r="AB134">
        <v>125.7</v>
      </c>
      <c r="AC134">
        <v>132.19999999999999</v>
      </c>
      <c r="AD134">
        <v>122.8</v>
      </c>
      <c r="AE134">
        <v>124.9</v>
      </c>
      <c r="AF134">
        <v>133.4</v>
      </c>
      <c r="AG134">
        <v>1770.7</v>
      </c>
      <c r="AH134">
        <v>139.9</v>
      </c>
      <c r="AI134">
        <v>272</v>
      </c>
      <c r="AJ134">
        <v>636.40000000000009</v>
      </c>
      <c r="AK134">
        <v>127.8</v>
      </c>
      <c r="AL134">
        <v>117</v>
      </c>
      <c r="AM134">
        <v>125.7</v>
      </c>
      <c r="AN134">
        <v>132.19999999999999</v>
      </c>
    </row>
    <row r="135" spans="1:40" x14ac:dyDescent="0.25">
      <c r="A135" t="s">
        <v>32</v>
      </c>
      <c r="B135">
        <v>2016</v>
      </c>
      <c r="C135" t="s">
        <v>41</v>
      </c>
      <c r="D135" t="s">
        <v>158</v>
      </c>
      <c r="E135">
        <v>128.1</v>
      </c>
      <c r="F135">
        <v>137.69999999999999</v>
      </c>
      <c r="G135">
        <v>130.6</v>
      </c>
      <c r="H135">
        <v>132.6</v>
      </c>
      <c r="I135">
        <v>111.9</v>
      </c>
      <c r="J135">
        <v>132.5</v>
      </c>
      <c r="K135">
        <v>152.9</v>
      </c>
      <c r="L135">
        <v>173.6</v>
      </c>
      <c r="M135">
        <v>115.1</v>
      </c>
      <c r="N135">
        <v>144.80000000000001</v>
      </c>
      <c r="O135">
        <v>122.1</v>
      </c>
      <c r="P135">
        <v>138.80000000000001</v>
      </c>
      <c r="Q135">
        <v>135.69999999999999</v>
      </c>
      <c r="R135">
        <v>143.9</v>
      </c>
      <c r="S135">
        <v>128.69999999999999</v>
      </c>
      <c r="T135">
        <v>121.6</v>
      </c>
      <c r="U135">
        <v>127.7</v>
      </c>
      <c r="V135">
        <v>127.9</v>
      </c>
      <c r="W135">
        <v>127.9</v>
      </c>
      <c r="X135">
        <v>114.8</v>
      </c>
      <c r="Y135">
        <v>124.3</v>
      </c>
      <c r="Z135">
        <v>121.4</v>
      </c>
      <c r="AA135">
        <v>111.8</v>
      </c>
      <c r="AB135">
        <v>120.8</v>
      </c>
      <c r="AC135">
        <v>131.6</v>
      </c>
      <c r="AD135">
        <v>121.2</v>
      </c>
      <c r="AE135">
        <v>120.5</v>
      </c>
      <c r="AF135">
        <v>128</v>
      </c>
      <c r="AG135">
        <v>1756.3999999999996</v>
      </c>
      <c r="AH135">
        <v>143.9</v>
      </c>
      <c r="AI135">
        <v>250.29999999999998</v>
      </c>
      <c r="AJ135">
        <v>608.70000000000005</v>
      </c>
      <c r="AK135">
        <v>121.4</v>
      </c>
      <c r="AL135">
        <v>111.8</v>
      </c>
      <c r="AM135">
        <v>120.8</v>
      </c>
      <c r="AN135">
        <v>131.6</v>
      </c>
    </row>
    <row r="136" spans="1:40" x14ac:dyDescent="0.25">
      <c r="A136" t="s">
        <v>33</v>
      </c>
      <c r="B136">
        <v>2016</v>
      </c>
      <c r="C136" t="s">
        <v>41</v>
      </c>
      <c r="D136" t="s">
        <v>158</v>
      </c>
      <c r="E136">
        <v>129.9</v>
      </c>
      <c r="F136">
        <v>138</v>
      </c>
      <c r="G136">
        <v>130.5</v>
      </c>
      <c r="H136">
        <v>134.4</v>
      </c>
      <c r="I136">
        <v>117.2</v>
      </c>
      <c r="J136">
        <v>136.1</v>
      </c>
      <c r="K136">
        <v>150.69999999999999</v>
      </c>
      <c r="L136">
        <v>171.5</v>
      </c>
      <c r="M136">
        <v>113.8</v>
      </c>
      <c r="N136">
        <v>138.80000000000001</v>
      </c>
      <c r="O136">
        <v>126</v>
      </c>
      <c r="P136">
        <v>140.19999999999999</v>
      </c>
      <c r="Q136">
        <v>136.6</v>
      </c>
      <c r="R136">
        <v>141</v>
      </c>
      <c r="S136">
        <v>134.6</v>
      </c>
      <c r="T136">
        <v>128.6</v>
      </c>
      <c r="U136">
        <v>133.80000000000001</v>
      </c>
      <c r="V136">
        <v>127.9</v>
      </c>
      <c r="W136">
        <v>127.9</v>
      </c>
      <c r="X136">
        <v>124.1</v>
      </c>
      <c r="Y136">
        <v>127.9</v>
      </c>
      <c r="Z136">
        <v>125.4</v>
      </c>
      <c r="AA136">
        <v>114.3</v>
      </c>
      <c r="AB136">
        <v>122.9</v>
      </c>
      <c r="AC136">
        <v>131.80000000000001</v>
      </c>
      <c r="AD136">
        <v>122.1</v>
      </c>
      <c r="AE136">
        <v>122.8</v>
      </c>
      <c r="AF136">
        <v>130.9</v>
      </c>
      <c r="AG136">
        <v>1763.6999999999998</v>
      </c>
      <c r="AH136">
        <v>141</v>
      </c>
      <c r="AI136">
        <v>263.2</v>
      </c>
      <c r="AJ136">
        <v>624.79999999999995</v>
      </c>
      <c r="AK136">
        <v>125.4</v>
      </c>
      <c r="AL136">
        <v>114.3</v>
      </c>
      <c r="AM136">
        <v>122.9</v>
      </c>
      <c r="AN136">
        <v>131.80000000000001</v>
      </c>
    </row>
    <row r="137" spans="1:40" x14ac:dyDescent="0.25">
      <c r="A137" t="s">
        <v>30</v>
      </c>
      <c r="B137">
        <v>2016</v>
      </c>
      <c r="C137" t="s">
        <v>42</v>
      </c>
      <c r="D137" t="s">
        <v>157</v>
      </c>
      <c r="E137">
        <v>131.30000000000001</v>
      </c>
      <c r="F137">
        <v>137.6</v>
      </c>
      <c r="G137">
        <v>130.1</v>
      </c>
      <c r="H137">
        <v>136</v>
      </c>
      <c r="I137">
        <v>120.8</v>
      </c>
      <c r="J137">
        <v>138.4</v>
      </c>
      <c r="K137">
        <v>149.19999999999999</v>
      </c>
      <c r="L137">
        <v>170.2</v>
      </c>
      <c r="M137">
        <v>113.4</v>
      </c>
      <c r="N137">
        <v>136.30000000000001</v>
      </c>
      <c r="O137">
        <v>128.69999999999999</v>
      </c>
      <c r="P137">
        <v>142.4</v>
      </c>
      <c r="Q137">
        <v>137.4</v>
      </c>
      <c r="R137">
        <v>140.9</v>
      </c>
      <c r="S137">
        <v>139.6</v>
      </c>
      <c r="T137">
        <v>134.30000000000001</v>
      </c>
      <c r="U137">
        <v>138.80000000000001</v>
      </c>
      <c r="V137" t="s">
        <v>47</v>
      </c>
      <c r="W137">
        <v>128.69999999999999</v>
      </c>
      <c r="X137">
        <v>129.80000000000001</v>
      </c>
      <c r="Y137">
        <v>131.80000000000001</v>
      </c>
      <c r="Z137">
        <v>128.69999999999999</v>
      </c>
      <c r="AA137">
        <v>117.8</v>
      </c>
      <c r="AB137">
        <v>126.5</v>
      </c>
      <c r="AC137">
        <v>133</v>
      </c>
      <c r="AD137">
        <v>123</v>
      </c>
      <c r="AE137">
        <v>125.7</v>
      </c>
      <c r="AF137">
        <v>133.80000000000001</v>
      </c>
      <c r="AG137">
        <v>1771.8000000000002</v>
      </c>
      <c r="AH137">
        <v>140.9</v>
      </c>
      <c r="AI137">
        <v>273.89999999999998</v>
      </c>
      <c r="AJ137">
        <v>639</v>
      </c>
      <c r="AK137">
        <v>128.69999999999999</v>
      </c>
      <c r="AL137">
        <v>117.8</v>
      </c>
      <c r="AM137">
        <v>126.5</v>
      </c>
      <c r="AN137">
        <v>133</v>
      </c>
    </row>
    <row r="138" spans="1:40" x14ac:dyDescent="0.25">
      <c r="A138" t="s">
        <v>32</v>
      </c>
      <c r="B138">
        <v>2016</v>
      </c>
      <c r="C138" t="s">
        <v>42</v>
      </c>
      <c r="D138" t="s">
        <v>157</v>
      </c>
      <c r="E138">
        <v>128.69999999999999</v>
      </c>
      <c r="F138">
        <v>138.4</v>
      </c>
      <c r="G138">
        <v>130.30000000000001</v>
      </c>
      <c r="H138">
        <v>132.69999999999999</v>
      </c>
      <c r="I138">
        <v>112.5</v>
      </c>
      <c r="J138">
        <v>130.4</v>
      </c>
      <c r="K138">
        <v>155.1</v>
      </c>
      <c r="L138">
        <v>175.7</v>
      </c>
      <c r="M138">
        <v>115.4</v>
      </c>
      <c r="N138">
        <v>145.30000000000001</v>
      </c>
      <c r="O138">
        <v>122.5</v>
      </c>
      <c r="P138">
        <v>139.6</v>
      </c>
      <c r="Q138">
        <v>136.30000000000001</v>
      </c>
      <c r="R138">
        <v>144.30000000000001</v>
      </c>
      <c r="S138">
        <v>129.1</v>
      </c>
      <c r="T138">
        <v>121.9</v>
      </c>
      <c r="U138">
        <v>128</v>
      </c>
      <c r="V138">
        <v>128.69999999999999</v>
      </c>
      <c r="W138">
        <v>128.69999999999999</v>
      </c>
      <c r="X138">
        <v>115.2</v>
      </c>
      <c r="Y138">
        <v>124.5</v>
      </c>
      <c r="Z138">
        <v>121.8</v>
      </c>
      <c r="AA138">
        <v>112.8</v>
      </c>
      <c r="AB138">
        <v>121.2</v>
      </c>
      <c r="AC138">
        <v>131.9</v>
      </c>
      <c r="AD138">
        <v>120.8</v>
      </c>
      <c r="AE138">
        <v>120.9</v>
      </c>
      <c r="AF138">
        <v>128.6</v>
      </c>
      <c r="AG138">
        <v>1762.8999999999999</v>
      </c>
      <c r="AH138">
        <v>144.30000000000001</v>
      </c>
      <c r="AI138">
        <v>251</v>
      </c>
      <c r="AJ138">
        <v>610.1</v>
      </c>
      <c r="AK138">
        <v>121.8</v>
      </c>
      <c r="AL138">
        <v>112.8</v>
      </c>
      <c r="AM138">
        <v>121.2</v>
      </c>
      <c r="AN138">
        <v>131.9</v>
      </c>
    </row>
    <row r="139" spans="1:40" x14ac:dyDescent="0.25">
      <c r="A139" t="s">
        <v>33</v>
      </c>
      <c r="B139">
        <v>2016</v>
      </c>
      <c r="C139" t="s">
        <v>42</v>
      </c>
      <c r="D139" t="s">
        <v>157</v>
      </c>
      <c r="E139">
        <v>130.5</v>
      </c>
      <c r="F139">
        <v>137.9</v>
      </c>
      <c r="G139">
        <v>130.19999999999999</v>
      </c>
      <c r="H139">
        <v>134.80000000000001</v>
      </c>
      <c r="I139">
        <v>117.8</v>
      </c>
      <c r="J139">
        <v>134.69999999999999</v>
      </c>
      <c r="K139">
        <v>151.19999999999999</v>
      </c>
      <c r="L139">
        <v>172.1</v>
      </c>
      <c r="M139">
        <v>114.1</v>
      </c>
      <c r="N139">
        <v>139.30000000000001</v>
      </c>
      <c r="O139">
        <v>126.1</v>
      </c>
      <c r="P139">
        <v>141.1</v>
      </c>
      <c r="Q139">
        <v>137</v>
      </c>
      <c r="R139">
        <v>141.80000000000001</v>
      </c>
      <c r="S139">
        <v>135.5</v>
      </c>
      <c r="T139">
        <v>129.1</v>
      </c>
      <c r="U139">
        <v>134.5</v>
      </c>
      <c r="V139">
        <v>128.69999999999999</v>
      </c>
      <c r="W139">
        <v>128.69999999999999</v>
      </c>
      <c r="X139">
        <v>124.3</v>
      </c>
      <c r="Y139">
        <v>128.4</v>
      </c>
      <c r="Z139">
        <v>126.1</v>
      </c>
      <c r="AA139">
        <v>115.2</v>
      </c>
      <c r="AB139">
        <v>123.5</v>
      </c>
      <c r="AC139">
        <v>132.4</v>
      </c>
      <c r="AD139">
        <v>122.1</v>
      </c>
      <c r="AE139">
        <v>123.4</v>
      </c>
      <c r="AF139">
        <v>131.4</v>
      </c>
      <c r="AG139">
        <v>1766.7999999999995</v>
      </c>
      <c r="AH139">
        <v>141.80000000000001</v>
      </c>
      <c r="AI139">
        <v>264.60000000000002</v>
      </c>
      <c r="AJ139">
        <v>626.9</v>
      </c>
      <c r="AK139">
        <v>126.1</v>
      </c>
      <c r="AL139">
        <v>115.2</v>
      </c>
      <c r="AM139">
        <v>123.5</v>
      </c>
      <c r="AN139">
        <v>132.4</v>
      </c>
    </row>
    <row r="140" spans="1:40" x14ac:dyDescent="0.25">
      <c r="A140" t="s">
        <v>30</v>
      </c>
      <c r="B140">
        <v>2016</v>
      </c>
      <c r="C140" t="s">
        <v>44</v>
      </c>
      <c r="D140" t="s">
        <v>156</v>
      </c>
      <c r="E140">
        <v>132</v>
      </c>
      <c r="F140">
        <v>137.4</v>
      </c>
      <c r="G140">
        <v>130.6</v>
      </c>
      <c r="H140">
        <v>136.19999999999999</v>
      </c>
      <c r="I140">
        <v>121.1</v>
      </c>
      <c r="J140">
        <v>136.9</v>
      </c>
      <c r="K140">
        <v>141.80000000000001</v>
      </c>
      <c r="L140">
        <v>170</v>
      </c>
      <c r="M140">
        <v>113.4</v>
      </c>
      <c r="N140">
        <v>136.80000000000001</v>
      </c>
      <c r="O140">
        <v>128.69999999999999</v>
      </c>
      <c r="P140">
        <v>143.1</v>
      </c>
      <c r="Q140">
        <v>136.6</v>
      </c>
      <c r="R140">
        <v>141.19999999999999</v>
      </c>
      <c r="S140">
        <v>139.9</v>
      </c>
      <c r="T140">
        <v>134.5</v>
      </c>
      <c r="U140">
        <v>139.19999999999999</v>
      </c>
      <c r="V140" t="s">
        <v>47</v>
      </c>
      <c r="W140">
        <v>129.1</v>
      </c>
      <c r="X140">
        <v>130.30000000000001</v>
      </c>
      <c r="Y140">
        <v>132.1</v>
      </c>
      <c r="Z140">
        <v>129.1</v>
      </c>
      <c r="AA140">
        <v>118.2</v>
      </c>
      <c r="AB140">
        <v>126.9</v>
      </c>
      <c r="AC140">
        <v>133.69999999999999</v>
      </c>
      <c r="AD140">
        <v>123.5</v>
      </c>
      <c r="AE140">
        <v>126.1</v>
      </c>
      <c r="AF140">
        <v>133.6</v>
      </c>
      <c r="AG140">
        <v>1764.6</v>
      </c>
      <c r="AH140">
        <v>141.19999999999999</v>
      </c>
      <c r="AI140">
        <v>274.39999999999998</v>
      </c>
      <c r="AJ140">
        <v>641.1</v>
      </c>
      <c r="AK140">
        <v>129.1</v>
      </c>
      <c r="AL140">
        <v>118.2</v>
      </c>
      <c r="AM140">
        <v>126.9</v>
      </c>
      <c r="AN140">
        <v>133.69999999999999</v>
      </c>
    </row>
    <row r="141" spans="1:40" x14ac:dyDescent="0.25">
      <c r="A141" t="s">
        <v>32</v>
      </c>
      <c r="B141">
        <v>2016</v>
      </c>
      <c r="C141" t="s">
        <v>44</v>
      </c>
      <c r="D141" t="s">
        <v>156</v>
      </c>
      <c r="E141">
        <v>130.19999999999999</v>
      </c>
      <c r="F141">
        <v>138.5</v>
      </c>
      <c r="G141">
        <v>134.1</v>
      </c>
      <c r="H141">
        <v>132.9</v>
      </c>
      <c r="I141">
        <v>112.6</v>
      </c>
      <c r="J141">
        <v>130.80000000000001</v>
      </c>
      <c r="K141">
        <v>142</v>
      </c>
      <c r="L141">
        <v>174.9</v>
      </c>
      <c r="M141">
        <v>115.6</v>
      </c>
      <c r="N141">
        <v>145.4</v>
      </c>
      <c r="O141">
        <v>122.7</v>
      </c>
      <c r="P141">
        <v>140.30000000000001</v>
      </c>
      <c r="Q141">
        <v>135.19999999999999</v>
      </c>
      <c r="R141">
        <v>144.30000000000001</v>
      </c>
      <c r="S141">
        <v>129.6</v>
      </c>
      <c r="T141">
        <v>122.1</v>
      </c>
      <c r="U141">
        <v>128.5</v>
      </c>
      <c r="V141">
        <v>129.1</v>
      </c>
      <c r="W141">
        <v>129.1</v>
      </c>
      <c r="X141">
        <v>116.2</v>
      </c>
      <c r="Y141">
        <v>124.7</v>
      </c>
      <c r="Z141">
        <v>122.1</v>
      </c>
      <c r="AA141">
        <v>113.4</v>
      </c>
      <c r="AB141">
        <v>121.7</v>
      </c>
      <c r="AC141">
        <v>132.1</v>
      </c>
      <c r="AD141">
        <v>121.3</v>
      </c>
      <c r="AE141">
        <v>121.3</v>
      </c>
      <c r="AF141">
        <v>128.5</v>
      </c>
      <c r="AG141">
        <v>1755.2</v>
      </c>
      <c r="AH141">
        <v>144.30000000000001</v>
      </c>
      <c r="AI141">
        <v>251.7</v>
      </c>
      <c r="AJ141">
        <v>612.6</v>
      </c>
      <c r="AK141">
        <v>122.1</v>
      </c>
      <c r="AL141">
        <v>113.4</v>
      </c>
      <c r="AM141">
        <v>121.7</v>
      </c>
      <c r="AN141">
        <v>132.1</v>
      </c>
    </row>
    <row r="142" spans="1:40" x14ac:dyDescent="0.25">
      <c r="A142" t="s">
        <v>33</v>
      </c>
      <c r="B142">
        <v>2016</v>
      </c>
      <c r="C142" t="s">
        <v>44</v>
      </c>
      <c r="D142" t="s">
        <v>156</v>
      </c>
      <c r="E142">
        <v>131.4</v>
      </c>
      <c r="F142">
        <v>137.80000000000001</v>
      </c>
      <c r="G142">
        <v>132</v>
      </c>
      <c r="H142">
        <v>135</v>
      </c>
      <c r="I142">
        <v>118</v>
      </c>
      <c r="J142">
        <v>134.1</v>
      </c>
      <c r="K142">
        <v>141.9</v>
      </c>
      <c r="L142">
        <v>171.7</v>
      </c>
      <c r="M142">
        <v>114.1</v>
      </c>
      <c r="N142">
        <v>139.69999999999999</v>
      </c>
      <c r="O142">
        <v>126.2</v>
      </c>
      <c r="P142">
        <v>141.80000000000001</v>
      </c>
      <c r="Q142">
        <v>136.1</v>
      </c>
      <c r="R142">
        <v>142</v>
      </c>
      <c r="S142">
        <v>135.80000000000001</v>
      </c>
      <c r="T142">
        <v>129.30000000000001</v>
      </c>
      <c r="U142">
        <v>135</v>
      </c>
      <c r="V142">
        <v>129.1</v>
      </c>
      <c r="W142">
        <v>129.1</v>
      </c>
      <c r="X142">
        <v>125</v>
      </c>
      <c r="Y142">
        <v>128.6</v>
      </c>
      <c r="Z142">
        <v>126.4</v>
      </c>
      <c r="AA142">
        <v>115.7</v>
      </c>
      <c r="AB142">
        <v>124</v>
      </c>
      <c r="AC142">
        <v>132.80000000000001</v>
      </c>
      <c r="AD142">
        <v>122.6</v>
      </c>
      <c r="AE142">
        <v>123.8</v>
      </c>
      <c r="AF142">
        <v>131.19999999999999</v>
      </c>
      <c r="AG142">
        <v>1759.8</v>
      </c>
      <c r="AH142">
        <v>142</v>
      </c>
      <c r="AI142">
        <v>265.10000000000002</v>
      </c>
      <c r="AJ142">
        <v>629.09999999999991</v>
      </c>
      <c r="AK142">
        <v>126.4</v>
      </c>
      <c r="AL142">
        <v>115.7</v>
      </c>
      <c r="AM142">
        <v>124</v>
      </c>
      <c r="AN142">
        <v>132.80000000000001</v>
      </c>
    </row>
    <row r="143" spans="1:40" x14ac:dyDescent="0.25">
      <c r="A143" t="s">
        <v>30</v>
      </c>
      <c r="B143">
        <v>2016</v>
      </c>
      <c r="C143" t="s">
        <v>45</v>
      </c>
      <c r="D143" t="s">
        <v>149</v>
      </c>
      <c r="E143">
        <v>132.6</v>
      </c>
      <c r="F143">
        <v>137.30000000000001</v>
      </c>
      <c r="G143">
        <v>131.6</v>
      </c>
      <c r="H143">
        <v>136.30000000000001</v>
      </c>
      <c r="I143">
        <v>121.6</v>
      </c>
      <c r="J143">
        <v>135.6</v>
      </c>
      <c r="K143">
        <v>127.5</v>
      </c>
      <c r="L143">
        <v>167.9</v>
      </c>
      <c r="M143">
        <v>113.8</v>
      </c>
      <c r="N143">
        <v>137.5</v>
      </c>
      <c r="O143">
        <v>129.1</v>
      </c>
      <c r="P143">
        <v>143.6</v>
      </c>
      <c r="Q143">
        <v>134.69999999999999</v>
      </c>
      <c r="R143">
        <v>142.4</v>
      </c>
      <c r="S143">
        <v>140.4</v>
      </c>
      <c r="T143">
        <v>135.19999999999999</v>
      </c>
      <c r="U143">
        <v>139.69999999999999</v>
      </c>
      <c r="V143" t="s">
        <v>47</v>
      </c>
      <c r="W143">
        <v>128.5</v>
      </c>
      <c r="X143">
        <v>132</v>
      </c>
      <c r="Y143">
        <v>132.9</v>
      </c>
      <c r="Z143">
        <v>129.69999999999999</v>
      </c>
      <c r="AA143">
        <v>118.6</v>
      </c>
      <c r="AB143">
        <v>127.3</v>
      </c>
      <c r="AC143">
        <v>134.19999999999999</v>
      </c>
      <c r="AD143">
        <v>121.9</v>
      </c>
      <c r="AE143">
        <v>126.3</v>
      </c>
      <c r="AF143">
        <v>132.80000000000001</v>
      </c>
      <c r="AG143">
        <v>1749.1</v>
      </c>
      <c r="AH143">
        <v>142.4</v>
      </c>
      <c r="AI143">
        <v>275.60000000000002</v>
      </c>
      <c r="AJ143">
        <v>641.59999999999991</v>
      </c>
      <c r="AK143">
        <v>129.69999999999999</v>
      </c>
      <c r="AL143">
        <v>118.6</v>
      </c>
      <c r="AM143">
        <v>127.3</v>
      </c>
      <c r="AN143">
        <v>134.19999999999999</v>
      </c>
    </row>
    <row r="144" spans="1:40" x14ac:dyDescent="0.25">
      <c r="A144" t="s">
        <v>32</v>
      </c>
      <c r="B144">
        <v>2016</v>
      </c>
      <c r="C144" t="s">
        <v>45</v>
      </c>
      <c r="D144" t="s">
        <v>149</v>
      </c>
      <c r="E144">
        <v>131.6</v>
      </c>
      <c r="F144">
        <v>138.19999999999999</v>
      </c>
      <c r="G144">
        <v>134.9</v>
      </c>
      <c r="H144">
        <v>133.1</v>
      </c>
      <c r="I144">
        <v>113.5</v>
      </c>
      <c r="J144">
        <v>129.30000000000001</v>
      </c>
      <c r="K144">
        <v>121.1</v>
      </c>
      <c r="L144">
        <v>170.3</v>
      </c>
      <c r="M144">
        <v>115.5</v>
      </c>
      <c r="N144">
        <v>145.5</v>
      </c>
      <c r="O144">
        <v>123.1</v>
      </c>
      <c r="P144">
        <v>140.9</v>
      </c>
      <c r="Q144">
        <v>132.80000000000001</v>
      </c>
      <c r="R144">
        <v>145</v>
      </c>
      <c r="S144">
        <v>130</v>
      </c>
      <c r="T144">
        <v>122.2</v>
      </c>
      <c r="U144">
        <v>128.80000000000001</v>
      </c>
      <c r="V144">
        <v>128.5</v>
      </c>
      <c r="W144">
        <v>128.5</v>
      </c>
      <c r="X144">
        <v>117.8</v>
      </c>
      <c r="Y144">
        <v>125</v>
      </c>
      <c r="Z144">
        <v>122.3</v>
      </c>
      <c r="AA144">
        <v>113.7</v>
      </c>
      <c r="AB144">
        <v>121.8</v>
      </c>
      <c r="AC144">
        <v>132.30000000000001</v>
      </c>
      <c r="AD144">
        <v>119.9</v>
      </c>
      <c r="AE144">
        <v>121.4</v>
      </c>
      <c r="AF144">
        <v>127.6</v>
      </c>
      <c r="AG144">
        <v>1729.8</v>
      </c>
      <c r="AH144">
        <v>145</v>
      </c>
      <c r="AI144">
        <v>252.2</v>
      </c>
      <c r="AJ144">
        <v>612.6</v>
      </c>
      <c r="AK144">
        <v>122.3</v>
      </c>
      <c r="AL144">
        <v>113.7</v>
      </c>
      <c r="AM144">
        <v>121.8</v>
      </c>
      <c r="AN144">
        <v>132.30000000000001</v>
      </c>
    </row>
    <row r="145" spans="1:40" x14ac:dyDescent="0.25">
      <c r="A145" t="s">
        <v>33</v>
      </c>
      <c r="B145">
        <v>2016</v>
      </c>
      <c r="C145" t="s">
        <v>45</v>
      </c>
      <c r="D145" t="s">
        <v>149</v>
      </c>
      <c r="E145">
        <v>132.30000000000001</v>
      </c>
      <c r="F145">
        <v>137.6</v>
      </c>
      <c r="G145">
        <v>132.9</v>
      </c>
      <c r="H145">
        <v>135.1</v>
      </c>
      <c r="I145">
        <v>118.6</v>
      </c>
      <c r="J145">
        <v>132.69999999999999</v>
      </c>
      <c r="K145">
        <v>125.3</v>
      </c>
      <c r="L145">
        <v>168.7</v>
      </c>
      <c r="M145">
        <v>114.4</v>
      </c>
      <c r="N145">
        <v>140.19999999999999</v>
      </c>
      <c r="O145">
        <v>126.6</v>
      </c>
      <c r="P145">
        <v>142.30000000000001</v>
      </c>
      <c r="Q145">
        <v>134</v>
      </c>
      <c r="R145">
        <v>143.1</v>
      </c>
      <c r="S145">
        <v>136.30000000000001</v>
      </c>
      <c r="T145">
        <v>129.80000000000001</v>
      </c>
      <c r="U145">
        <v>135.4</v>
      </c>
      <c r="V145">
        <v>128.5</v>
      </c>
      <c r="W145">
        <v>128.5</v>
      </c>
      <c r="X145">
        <v>126.6</v>
      </c>
      <c r="Y145">
        <v>129.19999999999999</v>
      </c>
      <c r="Z145">
        <v>126.9</v>
      </c>
      <c r="AA145">
        <v>116</v>
      </c>
      <c r="AB145">
        <v>124.2</v>
      </c>
      <c r="AC145">
        <v>133.1</v>
      </c>
      <c r="AD145">
        <v>121.1</v>
      </c>
      <c r="AE145">
        <v>123.9</v>
      </c>
      <c r="AF145">
        <v>130.4</v>
      </c>
      <c r="AG145">
        <v>1740.7</v>
      </c>
      <c r="AH145">
        <v>143.1</v>
      </c>
      <c r="AI145">
        <v>266.10000000000002</v>
      </c>
      <c r="AJ145">
        <v>629.29999999999995</v>
      </c>
      <c r="AK145">
        <v>126.9</v>
      </c>
      <c r="AL145">
        <v>116</v>
      </c>
      <c r="AM145">
        <v>124.2</v>
      </c>
      <c r="AN145">
        <v>133.1</v>
      </c>
    </row>
    <row r="146" spans="1:40" x14ac:dyDescent="0.25">
      <c r="A146" t="s">
        <v>30</v>
      </c>
      <c r="B146">
        <v>2017</v>
      </c>
      <c r="C146" t="s">
        <v>31</v>
      </c>
      <c r="D146" t="s">
        <v>163</v>
      </c>
      <c r="E146">
        <v>133.1</v>
      </c>
      <c r="F146">
        <v>137.80000000000001</v>
      </c>
      <c r="G146">
        <v>131.9</v>
      </c>
      <c r="H146">
        <v>136.69999999999999</v>
      </c>
      <c r="I146">
        <v>122</v>
      </c>
      <c r="J146">
        <v>136</v>
      </c>
      <c r="K146">
        <v>119.8</v>
      </c>
      <c r="L146">
        <v>161.69999999999999</v>
      </c>
      <c r="M146">
        <v>114.8</v>
      </c>
      <c r="N146">
        <v>136.9</v>
      </c>
      <c r="O146">
        <v>129</v>
      </c>
      <c r="P146">
        <v>143.9</v>
      </c>
      <c r="Q146">
        <v>133.69999999999999</v>
      </c>
      <c r="R146">
        <v>143.1</v>
      </c>
      <c r="S146">
        <v>140.69999999999999</v>
      </c>
      <c r="T146">
        <v>135.80000000000001</v>
      </c>
      <c r="U146">
        <v>140</v>
      </c>
      <c r="V146" t="s">
        <v>47</v>
      </c>
      <c r="W146">
        <v>129.6</v>
      </c>
      <c r="X146">
        <v>132.1</v>
      </c>
      <c r="Y146">
        <v>133.19999999999999</v>
      </c>
      <c r="Z146">
        <v>129.9</v>
      </c>
      <c r="AA146">
        <v>119.1</v>
      </c>
      <c r="AB146">
        <v>127</v>
      </c>
      <c r="AC146">
        <v>134.6</v>
      </c>
      <c r="AD146">
        <v>122.3</v>
      </c>
      <c r="AE146">
        <v>126.6</v>
      </c>
      <c r="AF146">
        <v>132.4</v>
      </c>
      <c r="AG146">
        <v>1737.3000000000002</v>
      </c>
      <c r="AH146">
        <v>143.1</v>
      </c>
      <c r="AI146">
        <v>276.5</v>
      </c>
      <c r="AJ146">
        <v>643.79999999999995</v>
      </c>
      <c r="AK146">
        <v>129.9</v>
      </c>
      <c r="AL146">
        <v>119.1</v>
      </c>
      <c r="AM146">
        <v>127</v>
      </c>
      <c r="AN146">
        <v>134.6</v>
      </c>
    </row>
    <row r="147" spans="1:40" x14ac:dyDescent="0.25">
      <c r="A147" t="s">
        <v>32</v>
      </c>
      <c r="B147">
        <v>2017</v>
      </c>
      <c r="C147" t="s">
        <v>31</v>
      </c>
      <c r="D147" t="s">
        <v>163</v>
      </c>
      <c r="E147">
        <v>132.19999999999999</v>
      </c>
      <c r="F147">
        <v>138.9</v>
      </c>
      <c r="G147">
        <v>132.6</v>
      </c>
      <c r="H147">
        <v>133.1</v>
      </c>
      <c r="I147">
        <v>114</v>
      </c>
      <c r="J147">
        <v>129.6</v>
      </c>
      <c r="K147">
        <v>118.7</v>
      </c>
      <c r="L147">
        <v>155.1</v>
      </c>
      <c r="M147">
        <v>117.3</v>
      </c>
      <c r="N147">
        <v>144.9</v>
      </c>
      <c r="O147">
        <v>123.2</v>
      </c>
      <c r="P147">
        <v>141.6</v>
      </c>
      <c r="Q147">
        <v>132</v>
      </c>
      <c r="R147">
        <v>145.6</v>
      </c>
      <c r="S147">
        <v>130.19999999999999</v>
      </c>
      <c r="T147">
        <v>122.3</v>
      </c>
      <c r="U147">
        <v>129</v>
      </c>
      <c r="V147">
        <v>129.6</v>
      </c>
      <c r="W147">
        <v>129.6</v>
      </c>
      <c r="X147">
        <v>118</v>
      </c>
      <c r="Y147">
        <v>125.1</v>
      </c>
      <c r="Z147">
        <v>122.6</v>
      </c>
      <c r="AA147">
        <v>115.2</v>
      </c>
      <c r="AB147">
        <v>122</v>
      </c>
      <c r="AC147">
        <v>132.4</v>
      </c>
      <c r="AD147">
        <v>120.9</v>
      </c>
      <c r="AE147">
        <v>122.1</v>
      </c>
      <c r="AF147">
        <v>127.8</v>
      </c>
      <c r="AG147">
        <v>1713.2</v>
      </c>
      <c r="AH147">
        <v>145.6</v>
      </c>
      <c r="AI147">
        <v>252.5</v>
      </c>
      <c r="AJ147">
        <v>615.70000000000005</v>
      </c>
      <c r="AK147">
        <v>122.6</v>
      </c>
      <c r="AL147">
        <v>115.2</v>
      </c>
      <c r="AM147">
        <v>122</v>
      </c>
      <c r="AN147">
        <v>132.4</v>
      </c>
    </row>
    <row r="148" spans="1:40" x14ac:dyDescent="0.25">
      <c r="A148" t="s">
        <v>33</v>
      </c>
      <c r="B148">
        <v>2017</v>
      </c>
      <c r="C148" t="s">
        <v>31</v>
      </c>
      <c r="D148" t="s">
        <v>163</v>
      </c>
      <c r="E148">
        <v>132.80000000000001</v>
      </c>
      <c r="F148">
        <v>138.19999999999999</v>
      </c>
      <c r="G148">
        <v>132.19999999999999</v>
      </c>
      <c r="H148">
        <v>135.4</v>
      </c>
      <c r="I148">
        <v>119.1</v>
      </c>
      <c r="J148">
        <v>133</v>
      </c>
      <c r="K148">
        <v>119.4</v>
      </c>
      <c r="L148">
        <v>159.5</v>
      </c>
      <c r="M148">
        <v>115.6</v>
      </c>
      <c r="N148">
        <v>139.6</v>
      </c>
      <c r="O148">
        <v>126.6</v>
      </c>
      <c r="P148">
        <v>142.80000000000001</v>
      </c>
      <c r="Q148">
        <v>133.1</v>
      </c>
      <c r="R148">
        <v>143.80000000000001</v>
      </c>
      <c r="S148">
        <v>136.6</v>
      </c>
      <c r="T148">
        <v>130.19999999999999</v>
      </c>
      <c r="U148">
        <v>135.6</v>
      </c>
      <c r="V148">
        <v>129.6</v>
      </c>
      <c r="W148">
        <v>129.6</v>
      </c>
      <c r="X148">
        <v>126.8</v>
      </c>
      <c r="Y148">
        <v>129.4</v>
      </c>
      <c r="Z148">
        <v>127.1</v>
      </c>
      <c r="AA148">
        <v>117</v>
      </c>
      <c r="AB148">
        <v>124.2</v>
      </c>
      <c r="AC148">
        <v>133.30000000000001</v>
      </c>
      <c r="AD148">
        <v>121.7</v>
      </c>
      <c r="AE148">
        <v>124.4</v>
      </c>
      <c r="AF148">
        <v>130.30000000000001</v>
      </c>
      <c r="AG148">
        <v>1727.2999999999995</v>
      </c>
      <c r="AH148">
        <v>143.80000000000001</v>
      </c>
      <c r="AI148">
        <v>266.79999999999995</v>
      </c>
      <c r="AJ148">
        <v>631.9</v>
      </c>
      <c r="AK148">
        <v>127.1</v>
      </c>
      <c r="AL148">
        <v>117</v>
      </c>
      <c r="AM148">
        <v>124.2</v>
      </c>
      <c r="AN148">
        <v>133.30000000000001</v>
      </c>
    </row>
    <row r="149" spans="1:40" x14ac:dyDescent="0.25">
      <c r="A149" t="s">
        <v>30</v>
      </c>
      <c r="B149">
        <v>2017</v>
      </c>
      <c r="C149" t="s">
        <v>34</v>
      </c>
      <c r="D149" t="s">
        <v>162</v>
      </c>
      <c r="E149">
        <v>133.30000000000001</v>
      </c>
      <c r="F149">
        <v>138.30000000000001</v>
      </c>
      <c r="G149">
        <v>129.30000000000001</v>
      </c>
      <c r="H149">
        <v>137.19999999999999</v>
      </c>
      <c r="I149">
        <v>122.1</v>
      </c>
      <c r="J149">
        <v>138.69999999999999</v>
      </c>
      <c r="K149">
        <v>119.1</v>
      </c>
      <c r="L149">
        <v>156.9</v>
      </c>
      <c r="M149">
        <v>116.2</v>
      </c>
      <c r="N149">
        <v>136</v>
      </c>
      <c r="O149">
        <v>129.4</v>
      </c>
      <c r="P149">
        <v>144.4</v>
      </c>
      <c r="Q149">
        <v>133.6</v>
      </c>
      <c r="R149">
        <v>143.69999999999999</v>
      </c>
      <c r="S149">
        <v>140.9</v>
      </c>
      <c r="T149">
        <v>135.80000000000001</v>
      </c>
      <c r="U149">
        <v>140.19999999999999</v>
      </c>
      <c r="V149" t="s">
        <v>47</v>
      </c>
      <c r="W149">
        <v>130.5</v>
      </c>
      <c r="X149">
        <v>133.19999999999999</v>
      </c>
      <c r="Y149">
        <v>133.6</v>
      </c>
      <c r="Z149">
        <v>130.1</v>
      </c>
      <c r="AA149">
        <v>119.5</v>
      </c>
      <c r="AB149">
        <v>127.7</v>
      </c>
      <c r="AC149">
        <v>134.9</v>
      </c>
      <c r="AD149">
        <v>123.2</v>
      </c>
      <c r="AE149">
        <v>127</v>
      </c>
      <c r="AF149">
        <v>132.6</v>
      </c>
      <c r="AG149">
        <v>1734.5000000000002</v>
      </c>
      <c r="AH149">
        <v>143.69999999999999</v>
      </c>
      <c r="AI149">
        <v>276.70000000000005</v>
      </c>
      <c r="AJ149">
        <v>647.5</v>
      </c>
      <c r="AK149">
        <v>130.1</v>
      </c>
      <c r="AL149">
        <v>119.5</v>
      </c>
      <c r="AM149">
        <v>127.7</v>
      </c>
      <c r="AN149">
        <v>134.9</v>
      </c>
    </row>
    <row r="150" spans="1:40" x14ac:dyDescent="0.25">
      <c r="A150" t="s">
        <v>32</v>
      </c>
      <c r="B150">
        <v>2017</v>
      </c>
      <c r="C150" t="s">
        <v>34</v>
      </c>
      <c r="D150" t="s">
        <v>162</v>
      </c>
      <c r="E150">
        <v>132.80000000000001</v>
      </c>
      <c r="F150">
        <v>139.80000000000001</v>
      </c>
      <c r="G150">
        <v>129.30000000000001</v>
      </c>
      <c r="H150">
        <v>133.5</v>
      </c>
      <c r="I150">
        <v>114.3</v>
      </c>
      <c r="J150">
        <v>131.4</v>
      </c>
      <c r="K150">
        <v>120.2</v>
      </c>
      <c r="L150">
        <v>143.1</v>
      </c>
      <c r="M150">
        <v>119.5</v>
      </c>
      <c r="N150">
        <v>144</v>
      </c>
      <c r="O150">
        <v>123.4</v>
      </c>
      <c r="P150">
        <v>141.9</v>
      </c>
      <c r="Q150">
        <v>132.1</v>
      </c>
      <c r="R150">
        <v>146.30000000000001</v>
      </c>
      <c r="S150">
        <v>130.5</v>
      </c>
      <c r="T150">
        <v>122.5</v>
      </c>
      <c r="U150">
        <v>129.30000000000001</v>
      </c>
      <c r="V150">
        <v>130.5</v>
      </c>
      <c r="W150">
        <v>130.5</v>
      </c>
      <c r="X150">
        <v>119.2</v>
      </c>
      <c r="Y150">
        <v>125.3</v>
      </c>
      <c r="Z150">
        <v>122.9</v>
      </c>
      <c r="AA150">
        <v>115.5</v>
      </c>
      <c r="AB150">
        <v>122.2</v>
      </c>
      <c r="AC150">
        <v>132.4</v>
      </c>
      <c r="AD150">
        <v>121.7</v>
      </c>
      <c r="AE150">
        <v>122.4</v>
      </c>
      <c r="AF150">
        <v>128.19999999999999</v>
      </c>
      <c r="AG150">
        <v>1705.3000000000002</v>
      </c>
      <c r="AH150">
        <v>146.30000000000001</v>
      </c>
      <c r="AI150">
        <v>253</v>
      </c>
      <c r="AJ150">
        <v>619.1</v>
      </c>
      <c r="AK150">
        <v>122.9</v>
      </c>
      <c r="AL150">
        <v>115.5</v>
      </c>
      <c r="AM150">
        <v>122.2</v>
      </c>
      <c r="AN150">
        <v>132.4</v>
      </c>
    </row>
    <row r="151" spans="1:40" x14ac:dyDescent="0.25">
      <c r="A151" t="s">
        <v>33</v>
      </c>
      <c r="B151">
        <v>2017</v>
      </c>
      <c r="C151" t="s">
        <v>34</v>
      </c>
      <c r="D151" t="s">
        <v>162</v>
      </c>
      <c r="E151">
        <v>133.1</v>
      </c>
      <c r="F151">
        <v>138.80000000000001</v>
      </c>
      <c r="G151">
        <v>129.30000000000001</v>
      </c>
      <c r="H151">
        <v>135.80000000000001</v>
      </c>
      <c r="I151">
        <v>119.2</v>
      </c>
      <c r="J151">
        <v>135.30000000000001</v>
      </c>
      <c r="K151">
        <v>119.5</v>
      </c>
      <c r="L151">
        <v>152.19999999999999</v>
      </c>
      <c r="M151">
        <v>117.3</v>
      </c>
      <c r="N151">
        <v>138.69999999999999</v>
      </c>
      <c r="O151">
        <v>126.9</v>
      </c>
      <c r="P151">
        <v>143.19999999999999</v>
      </c>
      <c r="Q151">
        <v>133</v>
      </c>
      <c r="R151">
        <v>144.4</v>
      </c>
      <c r="S151">
        <v>136.80000000000001</v>
      </c>
      <c r="T151">
        <v>130.30000000000001</v>
      </c>
      <c r="U151">
        <v>135.9</v>
      </c>
      <c r="V151">
        <v>130.5</v>
      </c>
      <c r="W151">
        <v>130.5</v>
      </c>
      <c r="X151">
        <v>127.9</v>
      </c>
      <c r="Y151">
        <v>129.69999999999999</v>
      </c>
      <c r="Z151">
        <v>127.4</v>
      </c>
      <c r="AA151">
        <v>117.4</v>
      </c>
      <c r="AB151">
        <v>124.6</v>
      </c>
      <c r="AC151">
        <v>133.4</v>
      </c>
      <c r="AD151">
        <v>122.6</v>
      </c>
      <c r="AE151">
        <v>124.8</v>
      </c>
      <c r="AF151">
        <v>130.6</v>
      </c>
      <c r="AG151">
        <v>1722.3000000000002</v>
      </c>
      <c r="AH151">
        <v>144.4</v>
      </c>
      <c r="AI151">
        <v>267.10000000000002</v>
      </c>
      <c r="AJ151">
        <v>635.49999999999989</v>
      </c>
      <c r="AK151">
        <v>127.4</v>
      </c>
      <c r="AL151">
        <v>117.4</v>
      </c>
      <c r="AM151">
        <v>124.6</v>
      </c>
      <c r="AN151">
        <v>133.4</v>
      </c>
    </row>
    <row r="152" spans="1:40" x14ac:dyDescent="0.25">
      <c r="A152" t="s">
        <v>30</v>
      </c>
      <c r="B152">
        <v>2017</v>
      </c>
      <c r="C152" t="s">
        <v>35</v>
      </c>
      <c r="D152" t="s">
        <v>166</v>
      </c>
      <c r="E152">
        <v>133.6</v>
      </c>
      <c r="F152">
        <v>138.80000000000001</v>
      </c>
      <c r="G152">
        <v>128.80000000000001</v>
      </c>
      <c r="H152">
        <v>137.19999999999999</v>
      </c>
      <c r="I152">
        <v>121.6</v>
      </c>
      <c r="J152">
        <v>139.69999999999999</v>
      </c>
      <c r="K152">
        <v>119.7</v>
      </c>
      <c r="L152">
        <v>148</v>
      </c>
      <c r="M152">
        <v>116.9</v>
      </c>
      <c r="N152">
        <v>135.6</v>
      </c>
      <c r="O152">
        <v>129.80000000000001</v>
      </c>
      <c r="P152">
        <v>145.4</v>
      </c>
      <c r="Q152">
        <v>133.4</v>
      </c>
      <c r="R152">
        <v>144.19999999999999</v>
      </c>
      <c r="S152">
        <v>141.6</v>
      </c>
      <c r="T152">
        <v>136.19999999999999</v>
      </c>
      <c r="U152">
        <v>140.80000000000001</v>
      </c>
      <c r="V152" t="s">
        <v>47</v>
      </c>
      <c r="W152">
        <v>131.1</v>
      </c>
      <c r="X152">
        <v>134.19999999999999</v>
      </c>
      <c r="Y152">
        <v>134.1</v>
      </c>
      <c r="Z152">
        <v>130.6</v>
      </c>
      <c r="AA152">
        <v>119.8</v>
      </c>
      <c r="AB152">
        <v>128.30000000000001</v>
      </c>
      <c r="AC152">
        <v>135.19999999999999</v>
      </c>
      <c r="AD152">
        <v>123.3</v>
      </c>
      <c r="AE152">
        <v>127.4</v>
      </c>
      <c r="AF152">
        <v>132.80000000000001</v>
      </c>
      <c r="AG152">
        <v>1728.5000000000002</v>
      </c>
      <c r="AH152">
        <v>144.19999999999999</v>
      </c>
      <c r="AI152">
        <v>277.79999999999995</v>
      </c>
      <c r="AJ152">
        <v>650.09999999999991</v>
      </c>
      <c r="AK152">
        <v>130.6</v>
      </c>
      <c r="AL152">
        <v>119.8</v>
      </c>
      <c r="AM152">
        <v>128.30000000000001</v>
      </c>
      <c r="AN152">
        <v>135.19999999999999</v>
      </c>
    </row>
    <row r="153" spans="1:40" x14ac:dyDescent="0.25">
      <c r="A153" t="s">
        <v>32</v>
      </c>
      <c r="B153">
        <v>2017</v>
      </c>
      <c r="C153" t="s">
        <v>35</v>
      </c>
      <c r="D153" t="s">
        <v>166</v>
      </c>
      <c r="E153">
        <v>132.69999999999999</v>
      </c>
      <c r="F153">
        <v>139.4</v>
      </c>
      <c r="G153">
        <v>128.4</v>
      </c>
      <c r="H153">
        <v>134.9</v>
      </c>
      <c r="I153">
        <v>114</v>
      </c>
      <c r="J153">
        <v>136.80000000000001</v>
      </c>
      <c r="K153">
        <v>122.2</v>
      </c>
      <c r="L153">
        <v>135.80000000000001</v>
      </c>
      <c r="M153">
        <v>120.3</v>
      </c>
      <c r="N153">
        <v>142.6</v>
      </c>
      <c r="O153">
        <v>123.6</v>
      </c>
      <c r="P153">
        <v>142.4</v>
      </c>
      <c r="Q153">
        <v>132.6</v>
      </c>
      <c r="R153">
        <v>147.5</v>
      </c>
      <c r="S153">
        <v>130.80000000000001</v>
      </c>
      <c r="T153">
        <v>122.8</v>
      </c>
      <c r="U153">
        <v>129.6</v>
      </c>
      <c r="V153">
        <v>131.1</v>
      </c>
      <c r="W153">
        <v>131.1</v>
      </c>
      <c r="X153">
        <v>120.8</v>
      </c>
      <c r="Y153">
        <v>125.6</v>
      </c>
      <c r="Z153">
        <v>123.1</v>
      </c>
      <c r="AA153">
        <v>115.6</v>
      </c>
      <c r="AB153">
        <v>122.4</v>
      </c>
      <c r="AC153">
        <v>132.80000000000001</v>
      </c>
      <c r="AD153">
        <v>121.7</v>
      </c>
      <c r="AE153">
        <v>122.6</v>
      </c>
      <c r="AF153">
        <v>128.69999999999999</v>
      </c>
      <c r="AG153">
        <v>1705.6999999999998</v>
      </c>
      <c r="AH153">
        <v>147.5</v>
      </c>
      <c r="AI153">
        <v>253.60000000000002</v>
      </c>
      <c r="AJ153">
        <v>621.79999999999995</v>
      </c>
      <c r="AK153">
        <v>123.1</v>
      </c>
      <c r="AL153">
        <v>115.6</v>
      </c>
      <c r="AM153">
        <v>122.4</v>
      </c>
      <c r="AN153">
        <v>132.80000000000001</v>
      </c>
    </row>
    <row r="154" spans="1:40" x14ac:dyDescent="0.25">
      <c r="A154" t="s">
        <v>33</v>
      </c>
      <c r="B154">
        <v>2017</v>
      </c>
      <c r="C154" t="s">
        <v>35</v>
      </c>
      <c r="D154" t="s">
        <v>166</v>
      </c>
      <c r="E154">
        <v>133.30000000000001</v>
      </c>
      <c r="F154">
        <v>139</v>
      </c>
      <c r="G154">
        <v>128.6</v>
      </c>
      <c r="H154">
        <v>136.30000000000001</v>
      </c>
      <c r="I154">
        <v>118.8</v>
      </c>
      <c r="J154">
        <v>138.30000000000001</v>
      </c>
      <c r="K154">
        <v>120.5</v>
      </c>
      <c r="L154">
        <v>143.9</v>
      </c>
      <c r="M154">
        <v>118</v>
      </c>
      <c r="N154">
        <v>137.9</v>
      </c>
      <c r="O154">
        <v>127.2</v>
      </c>
      <c r="P154">
        <v>144</v>
      </c>
      <c r="Q154">
        <v>133.1</v>
      </c>
      <c r="R154">
        <v>145.1</v>
      </c>
      <c r="S154">
        <v>137.30000000000001</v>
      </c>
      <c r="T154">
        <v>130.6</v>
      </c>
      <c r="U154">
        <v>136.4</v>
      </c>
      <c r="V154">
        <v>131.1</v>
      </c>
      <c r="W154">
        <v>131.1</v>
      </c>
      <c r="X154">
        <v>129.1</v>
      </c>
      <c r="Y154">
        <v>130.1</v>
      </c>
      <c r="Z154">
        <v>127.8</v>
      </c>
      <c r="AA154">
        <v>117.6</v>
      </c>
      <c r="AB154">
        <v>125</v>
      </c>
      <c r="AC154">
        <v>133.80000000000001</v>
      </c>
      <c r="AD154">
        <v>122.6</v>
      </c>
      <c r="AE154">
        <v>125.1</v>
      </c>
      <c r="AF154">
        <v>130.9</v>
      </c>
      <c r="AG154">
        <v>1718.9</v>
      </c>
      <c r="AH154">
        <v>145.1</v>
      </c>
      <c r="AI154">
        <v>267.89999999999998</v>
      </c>
      <c r="AJ154">
        <v>638</v>
      </c>
      <c r="AK154">
        <v>127.8</v>
      </c>
      <c r="AL154">
        <v>117.6</v>
      </c>
      <c r="AM154">
        <v>125</v>
      </c>
      <c r="AN154">
        <v>133.80000000000001</v>
      </c>
    </row>
    <row r="155" spans="1:40" x14ac:dyDescent="0.25">
      <c r="A155" t="s">
        <v>30</v>
      </c>
      <c r="B155">
        <v>2017</v>
      </c>
      <c r="C155" t="s">
        <v>36</v>
      </c>
      <c r="D155" t="s">
        <v>159</v>
      </c>
      <c r="E155">
        <v>133.19999999999999</v>
      </c>
      <c r="F155">
        <v>138.69999999999999</v>
      </c>
      <c r="G155">
        <v>127.1</v>
      </c>
      <c r="H155">
        <v>137.69999999999999</v>
      </c>
      <c r="I155">
        <v>121.3</v>
      </c>
      <c r="J155">
        <v>141.80000000000001</v>
      </c>
      <c r="K155">
        <v>121.5</v>
      </c>
      <c r="L155">
        <v>144.5</v>
      </c>
      <c r="M155">
        <v>117.4</v>
      </c>
      <c r="N155">
        <v>134.1</v>
      </c>
      <c r="O155">
        <v>130</v>
      </c>
      <c r="P155">
        <v>145.5</v>
      </c>
      <c r="Q155">
        <v>133.5</v>
      </c>
      <c r="R155">
        <v>144.4</v>
      </c>
      <c r="S155">
        <v>142.4</v>
      </c>
      <c r="T155">
        <v>136.80000000000001</v>
      </c>
      <c r="U155">
        <v>141.6</v>
      </c>
      <c r="V155" t="s">
        <v>47</v>
      </c>
      <c r="W155">
        <v>131.69999999999999</v>
      </c>
      <c r="X155">
        <v>135</v>
      </c>
      <c r="Y155">
        <v>134.30000000000001</v>
      </c>
      <c r="Z155">
        <v>131</v>
      </c>
      <c r="AA155">
        <v>119.2</v>
      </c>
      <c r="AB155">
        <v>128.30000000000001</v>
      </c>
      <c r="AC155">
        <v>135.69999999999999</v>
      </c>
      <c r="AD155">
        <v>123.7</v>
      </c>
      <c r="AE155">
        <v>127.5</v>
      </c>
      <c r="AF155">
        <v>132.9</v>
      </c>
      <c r="AG155">
        <v>1726.3</v>
      </c>
      <c r="AH155">
        <v>144.4</v>
      </c>
      <c r="AI155">
        <v>279.20000000000005</v>
      </c>
      <c r="AJ155">
        <v>652.20000000000005</v>
      </c>
      <c r="AK155">
        <v>131</v>
      </c>
      <c r="AL155">
        <v>119.2</v>
      </c>
      <c r="AM155">
        <v>128.30000000000001</v>
      </c>
      <c r="AN155">
        <v>135.69999999999999</v>
      </c>
    </row>
    <row r="156" spans="1:40" x14ac:dyDescent="0.25">
      <c r="A156" t="s">
        <v>32</v>
      </c>
      <c r="B156">
        <v>2017</v>
      </c>
      <c r="C156" t="s">
        <v>36</v>
      </c>
      <c r="D156" t="s">
        <v>159</v>
      </c>
      <c r="E156">
        <v>132.69999999999999</v>
      </c>
      <c r="F156">
        <v>140.6</v>
      </c>
      <c r="G156">
        <v>124.5</v>
      </c>
      <c r="H156">
        <v>136.30000000000001</v>
      </c>
      <c r="I156">
        <v>113.5</v>
      </c>
      <c r="J156">
        <v>137.69999999999999</v>
      </c>
      <c r="K156">
        <v>127.1</v>
      </c>
      <c r="L156">
        <v>133.80000000000001</v>
      </c>
      <c r="M156">
        <v>120.8</v>
      </c>
      <c r="N156">
        <v>141.30000000000001</v>
      </c>
      <c r="O156">
        <v>123.8</v>
      </c>
      <c r="P156">
        <v>142.6</v>
      </c>
      <c r="Q156">
        <v>133.4</v>
      </c>
      <c r="R156">
        <v>148</v>
      </c>
      <c r="S156">
        <v>131.19999999999999</v>
      </c>
      <c r="T156">
        <v>123</v>
      </c>
      <c r="U156">
        <v>130</v>
      </c>
      <c r="V156">
        <v>131.69999999999999</v>
      </c>
      <c r="W156">
        <v>131.69999999999999</v>
      </c>
      <c r="X156">
        <v>121.4</v>
      </c>
      <c r="Y156">
        <v>126</v>
      </c>
      <c r="Z156">
        <v>123.4</v>
      </c>
      <c r="AA156">
        <v>114.3</v>
      </c>
      <c r="AB156">
        <v>122.6</v>
      </c>
      <c r="AC156">
        <v>133.6</v>
      </c>
      <c r="AD156">
        <v>122.2</v>
      </c>
      <c r="AE156">
        <v>122.5</v>
      </c>
      <c r="AF156">
        <v>129.1</v>
      </c>
      <c r="AG156">
        <v>1708.1</v>
      </c>
      <c r="AH156">
        <v>148</v>
      </c>
      <c r="AI156">
        <v>254.2</v>
      </c>
      <c r="AJ156">
        <v>623.79999999999995</v>
      </c>
      <c r="AK156">
        <v>123.4</v>
      </c>
      <c r="AL156">
        <v>114.3</v>
      </c>
      <c r="AM156">
        <v>122.6</v>
      </c>
      <c r="AN156">
        <v>133.6</v>
      </c>
    </row>
    <row r="157" spans="1:40" x14ac:dyDescent="0.25">
      <c r="A157" t="s">
        <v>33</v>
      </c>
      <c r="B157">
        <v>2017</v>
      </c>
      <c r="C157" t="s">
        <v>36</v>
      </c>
      <c r="D157" t="s">
        <v>159</v>
      </c>
      <c r="E157">
        <v>133</v>
      </c>
      <c r="F157">
        <v>139.4</v>
      </c>
      <c r="G157">
        <v>126.1</v>
      </c>
      <c r="H157">
        <v>137.19999999999999</v>
      </c>
      <c r="I157">
        <v>118.4</v>
      </c>
      <c r="J157">
        <v>139.9</v>
      </c>
      <c r="K157">
        <v>123.4</v>
      </c>
      <c r="L157">
        <v>140.9</v>
      </c>
      <c r="M157">
        <v>118.5</v>
      </c>
      <c r="N157">
        <v>136.5</v>
      </c>
      <c r="O157">
        <v>127.4</v>
      </c>
      <c r="P157">
        <v>144.19999999999999</v>
      </c>
      <c r="Q157">
        <v>133.5</v>
      </c>
      <c r="R157">
        <v>145.4</v>
      </c>
      <c r="S157">
        <v>138</v>
      </c>
      <c r="T157">
        <v>131.1</v>
      </c>
      <c r="U157">
        <v>137</v>
      </c>
      <c r="V157">
        <v>131.69999999999999</v>
      </c>
      <c r="W157">
        <v>131.69999999999999</v>
      </c>
      <c r="X157">
        <v>129.80000000000001</v>
      </c>
      <c r="Y157">
        <v>130.4</v>
      </c>
      <c r="Z157">
        <v>128.1</v>
      </c>
      <c r="AA157">
        <v>116.6</v>
      </c>
      <c r="AB157">
        <v>125.1</v>
      </c>
      <c r="AC157">
        <v>134.5</v>
      </c>
      <c r="AD157">
        <v>123.1</v>
      </c>
      <c r="AE157">
        <v>125.1</v>
      </c>
      <c r="AF157">
        <v>131.1</v>
      </c>
      <c r="AG157">
        <v>1718.4</v>
      </c>
      <c r="AH157">
        <v>145.4</v>
      </c>
      <c r="AI157">
        <v>269.10000000000002</v>
      </c>
      <c r="AJ157">
        <v>640.1</v>
      </c>
      <c r="AK157">
        <v>128.1</v>
      </c>
      <c r="AL157">
        <v>116.6</v>
      </c>
      <c r="AM157">
        <v>125.1</v>
      </c>
      <c r="AN157">
        <v>134.5</v>
      </c>
    </row>
    <row r="158" spans="1:40" x14ac:dyDescent="0.25">
      <c r="A158" t="s">
        <v>30</v>
      </c>
      <c r="B158">
        <v>2017</v>
      </c>
      <c r="C158" t="s">
        <v>37</v>
      </c>
      <c r="D158" t="s">
        <v>167</v>
      </c>
      <c r="E158">
        <v>133.1</v>
      </c>
      <c r="F158">
        <v>140.30000000000001</v>
      </c>
      <c r="G158">
        <v>126.8</v>
      </c>
      <c r="H158">
        <v>138.19999999999999</v>
      </c>
      <c r="I158">
        <v>120.8</v>
      </c>
      <c r="J158">
        <v>140.19999999999999</v>
      </c>
      <c r="K158">
        <v>123.8</v>
      </c>
      <c r="L158">
        <v>141.80000000000001</v>
      </c>
      <c r="M158">
        <v>118.6</v>
      </c>
      <c r="N158">
        <v>134</v>
      </c>
      <c r="O158">
        <v>130.30000000000001</v>
      </c>
      <c r="P158">
        <v>145.80000000000001</v>
      </c>
      <c r="Q158">
        <v>133.80000000000001</v>
      </c>
      <c r="R158">
        <v>145.5</v>
      </c>
      <c r="S158">
        <v>142.5</v>
      </c>
      <c r="T158">
        <v>137.30000000000001</v>
      </c>
      <c r="U158">
        <v>141.80000000000001</v>
      </c>
      <c r="V158" t="s">
        <v>47</v>
      </c>
      <c r="W158">
        <v>132.1</v>
      </c>
      <c r="X158">
        <v>135</v>
      </c>
      <c r="Y158">
        <v>134.9</v>
      </c>
      <c r="Z158">
        <v>131.4</v>
      </c>
      <c r="AA158">
        <v>119.4</v>
      </c>
      <c r="AB158">
        <v>129.4</v>
      </c>
      <c r="AC158">
        <v>136.30000000000001</v>
      </c>
      <c r="AD158">
        <v>123.7</v>
      </c>
      <c r="AE158">
        <v>127.9</v>
      </c>
      <c r="AF158">
        <v>133.30000000000001</v>
      </c>
      <c r="AG158">
        <v>1727.4999999999995</v>
      </c>
      <c r="AH158">
        <v>145.5</v>
      </c>
      <c r="AI158">
        <v>279.8</v>
      </c>
      <c r="AJ158">
        <v>653.6</v>
      </c>
      <c r="AK158">
        <v>131.4</v>
      </c>
      <c r="AL158">
        <v>119.4</v>
      </c>
      <c r="AM158">
        <v>129.4</v>
      </c>
      <c r="AN158">
        <v>136.30000000000001</v>
      </c>
    </row>
    <row r="159" spans="1:40" x14ac:dyDescent="0.25">
      <c r="A159" t="s">
        <v>32</v>
      </c>
      <c r="B159">
        <v>2017</v>
      </c>
      <c r="C159" t="s">
        <v>37</v>
      </c>
      <c r="D159" t="s">
        <v>167</v>
      </c>
      <c r="E159">
        <v>132.6</v>
      </c>
      <c r="F159">
        <v>144.1</v>
      </c>
      <c r="G159">
        <v>125.6</v>
      </c>
      <c r="H159">
        <v>136.80000000000001</v>
      </c>
      <c r="I159">
        <v>113.4</v>
      </c>
      <c r="J159">
        <v>135.19999999999999</v>
      </c>
      <c r="K159">
        <v>129.19999999999999</v>
      </c>
      <c r="L159">
        <v>131.5</v>
      </c>
      <c r="M159">
        <v>121</v>
      </c>
      <c r="N159">
        <v>139.9</v>
      </c>
      <c r="O159">
        <v>123.8</v>
      </c>
      <c r="P159">
        <v>142.9</v>
      </c>
      <c r="Q159">
        <v>133.6</v>
      </c>
      <c r="R159">
        <v>148.30000000000001</v>
      </c>
      <c r="S159">
        <v>131.5</v>
      </c>
      <c r="T159">
        <v>123.2</v>
      </c>
      <c r="U159">
        <v>130.19999999999999</v>
      </c>
      <c r="V159">
        <v>132.1</v>
      </c>
      <c r="W159">
        <v>132.1</v>
      </c>
      <c r="X159">
        <v>120.1</v>
      </c>
      <c r="Y159">
        <v>126.5</v>
      </c>
      <c r="Z159">
        <v>123.6</v>
      </c>
      <c r="AA159">
        <v>114.3</v>
      </c>
      <c r="AB159">
        <v>122.8</v>
      </c>
      <c r="AC159">
        <v>133.80000000000001</v>
      </c>
      <c r="AD159">
        <v>122</v>
      </c>
      <c r="AE159">
        <v>122.6</v>
      </c>
      <c r="AF159">
        <v>129.30000000000001</v>
      </c>
      <c r="AG159">
        <v>1709.6</v>
      </c>
      <c r="AH159">
        <v>148.30000000000001</v>
      </c>
      <c r="AI159">
        <v>254.7</v>
      </c>
      <c r="AJ159">
        <v>623.29999999999995</v>
      </c>
      <c r="AK159">
        <v>123.6</v>
      </c>
      <c r="AL159">
        <v>114.3</v>
      </c>
      <c r="AM159">
        <v>122.8</v>
      </c>
      <c r="AN159">
        <v>133.80000000000001</v>
      </c>
    </row>
    <row r="160" spans="1:40" x14ac:dyDescent="0.25">
      <c r="A160" t="s">
        <v>33</v>
      </c>
      <c r="B160">
        <v>2017</v>
      </c>
      <c r="C160" t="s">
        <v>37</v>
      </c>
      <c r="D160" t="s">
        <v>167</v>
      </c>
      <c r="E160">
        <v>132.9</v>
      </c>
      <c r="F160">
        <v>141.6</v>
      </c>
      <c r="G160">
        <v>126.3</v>
      </c>
      <c r="H160">
        <v>137.69999999999999</v>
      </c>
      <c r="I160">
        <v>118.1</v>
      </c>
      <c r="J160">
        <v>137.9</v>
      </c>
      <c r="K160">
        <v>125.6</v>
      </c>
      <c r="L160">
        <v>138.30000000000001</v>
      </c>
      <c r="M160">
        <v>119.4</v>
      </c>
      <c r="N160">
        <v>136</v>
      </c>
      <c r="O160">
        <v>127.6</v>
      </c>
      <c r="P160">
        <v>144.5</v>
      </c>
      <c r="Q160">
        <v>133.69999999999999</v>
      </c>
      <c r="R160">
        <v>146.19999999999999</v>
      </c>
      <c r="S160">
        <v>138.19999999999999</v>
      </c>
      <c r="T160">
        <v>131.4</v>
      </c>
      <c r="U160">
        <v>137.19999999999999</v>
      </c>
      <c r="V160">
        <v>132.1</v>
      </c>
      <c r="W160">
        <v>132.1</v>
      </c>
      <c r="X160">
        <v>129.4</v>
      </c>
      <c r="Y160">
        <v>130.9</v>
      </c>
      <c r="Z160">
        <v>128.4</v>
      </c>
      <c r="AA160">
        <v>116.7</v>
      </c>
      <c r="AB160">
        <v>125.7</v>
      </c>
      <c r="AC160">
        <v>134.80000000000001</v>
      </c>
      <c r="AD160">
        <v>123</v>
      </c>
      <c r="AE160">
        <v>125.3</v>
      </c>
      <c r="AF160">
        <v>131.4</v>
      </c>
      <c r="AG160">
        <v>1719.6000000000001</v>
      </c>
      <c r="AH160">
        <v>146.19999999999999</v>
      </c>
      <c r="AI160">
        <v>269.60000000000002</v>
      </c>
      <c r="AJ160">
        <v>640.69999999999993</v>
      </c>
      <c r="AK160">
        <v>128.4</v>
      </c>
      <c r="AL160">
        <v>116.7</v>
      </c>
      <c r="AM160">
        <v>125.7</v>
      </c>
      <c r="AN160">
        <v>134.80000000000001</v>
      </c>
    </row>
    <row r="161" spans="1:40" x14ac:dyDescent="0.25">
      <c r="A161" t="s">
        <v>30</v>
      </c>
      <c r="B161">
        <v>2017</v>
      </c>
      <c r="C161" t="s">
        <v>38</v>
      </c>
      <c r="D161" t="s">
        <v>165</v>
      </c>
      <c r="E161">
        <v>133.5</v>
      </c>
      <c r="F161">
        <v>143.69999999999999</v>
      </c>
      <c r="G161">
        <v>128</v>
      </c>
      <c r="H161">
        <v>138.6</v>
      </c>
      <c r="I161">
        <v>120.9</v>
      </c>
      <c r="J161">
        <v>140.9</v>
      </c>
      <c r="K161">
        <v>128.80000000000001</v>
      </c>
      <c r="L161">
        <v>140.19999999999999</v>
      </c>
      <c r="M161">
        <v>118.9</v>
      </c>
      <c r="N161">
        <v>133.5</v>
      </c>
      <c r="O161">
        <v>130.4</v>
      </c>
      <c r="P161">
        <v>146.5</v>
      </c>
      <c r="Q161">
        <v>134.9</v>
      </c>
      <c r="R161">
        <v>145.80000000000001</v>
      </c>
      <c r="S161">
        <v>143.1</v>
      </c>
      <c r="T161">
        <v>137.69999999999999</v>
      </c>
      <c r="U161">
        <v>142.30000000000001</v>
      </c>
      <c r="V161" t="s">
        <v>47</v>
      </c>
      <c r="W161">
        <v>131.4</v>
      </c>
      <c r="X161">
        <v>134.80000000000001</v>
      </c>
      <c r="Y161">
        <v>135.19999999999999</v>
      </c>
      <c r="Z161">
        <v>131.30000000000001</v>
      </c>
      <c r="AA161">
        <v>119.4</v>
      </c>
      <c r="AB161">
        <v>129.80000000000001</v>
      </c>
      <c r="AC161">
        <v>136.9</v>
      </c>
      <c r="AD161">
        <v>124.1</v>
      </c>
      <c r="AE161">
        <v>128.1</v>
      </c>
      <c r="AF161">
        <v>133.9</v>
      </c>
      <c r="AG161">
        <v>1738.8000000000002</v>
      </c>
      <c r="AH161">
        <v>145.80000000000001</v>
      </c>
      <c r="AI161">
        <v>280.79999999999995</v>
      </c>
      <c r="AJ161">
        <v>653.6</v>
      </c>
      <c r="AK161">
        <v>131.30000000000001</v>
      </c>
      <c r="AL161">
        <v>119.4</v>
      </c>
      <c r="AM161">
        <v>129.80000000000001</v>
      </c>
      <c r="AN161">
        <v>136.9</v>
      </c>
    </row>
    <row r="162" spans="1:40" x14ac:dyDescent="0.25">
      <c r="A162" t="s">
        <v>32</v>
      </c>
      <c r="B162">
        <v>2017</v>
      </c>
      <c r="C162" t="s">
        <v>38</v>
      </c>
      <c r="D162" t="s">
        <v>165</v>
      </c>
      <c r="E162">
        <v>132.9</v>
      </c>
      <c r="F162">
        <v>148.69999999999999</v>
      </c>
      <c r="G162">
        <v>128.30000000000001</v>
      </c>
      <c r="H162">
        <v>137.30000000000001</v>
      </c>
      <c r="I162">
        <v>113.5</v>
      </c>
      <c r="J162">
        <v>137.19999999999999</v>
      </c>
      <c r="K162">
        <v>142.19999999999999</v>
      </c>
      <c r="L162">
        <v>128.19999999999999</v>
      </c>
      <c r="M162">
        <v>120.9</v>
      </c>
      <c r="N162">
        <v>138.80000000000001</v>
      </c>
      <c r="O162">
        <v>124.2</v>
      </c>
      <c r="P162">
        <v>143.1</v>
      </c>
      <c r="Q162">
        <v>135.69999999999999</v>
      </c>
      <c r="R162">
        <v>148.6</v>
      </c>
      <c r="S162">
        <v>131.5</v>
      </c>
      <c r="T162">
        <v>123.2</v>
      </c>
      <c r="U162">
        <v>130.19999999999999</v>
      </c>
      <c r="V162">
        <v>131.4</v>
      </c>
      <c r="W162">
        <v>131.4</v>
      </c>
      <c r="X162">
        <v>119</v>
      </c>
      <c r="Y162">
        <v>126.8</v>
      </c>
      <c r="Z162">
        <v>123.8</v>
      </c>
      <c r="AA162">
        <v>113.9</v>
      </c>
      <c r="AB162">
        <v>122.9</v>
      </c>
      <c r="AC162">
        <v>134.30000000000001</v>
      </c>
      <c r="AD162">
        <v>122.5</v>
      </c>
      <c r="AE162">
        <v>122.7</v>
      </c>
      <c r="AF162">
        <v>129.9</v>
      </c>
      <c r="AG162">
        <v>1731.0000000000002</v>
      </c>
      <c r="AH162">
        <v>148.6</v>
      </c>
      <c r="AI162">
        <v>254.7</v>
      </c>
      <c r="AJ162">
        <v>622.4</v>
      </c>
      <c r="AK162">
        <v>123.8</v>
      </c>
      <c r="AL162">
        <v>113.9</v>
      </c>
      <c r="AM162">
        <v>122.9</v>
      </c>
      <c r="AN162">
        <v>134.30000000000001</v>
      </c>
    </row>
    <row r="163" spans="1:40" x14ac:dyDescent="0.25">
      <c r="A163" t="s">
        <v>33</v>
      </c>
      <c r="B163">
        <v>2017</v>
      </c>
      <c r="C163" t="s">
        <v>38</v>
      </c>
      <c r="D163" t="s">
        <v>165</v>
      </c>
      <c r="E163">
        <v>133.30000000000001</v>
      </c>
      <c r="F163">
        <v>145.5</v>
      </c>
      <c r="G163">
        <v>128.1</v>
      </c>
      <c r="H163">
        <v>138.1</v>
      </c>
      <c r="I163">
        <v>118.2</v>
      </c>
      <c r="J163">
        <v>139.19999999999999</v>
      </c>
      <c r="K163">
        <v>133.30000000000001</v>
      </c>
      <c r="L163">
        <v>136.19999999999999</v>
      </c>
      <c r="M163">
        <v>119.6</v>
      </c>
      <c r="N163">
        <v>135.30000000000001</v>
      </c>
      <c r="O163">
        <v>127.8</v>
      </c>
      <c r="P163">
        <v>144.9</v>
      </c>
      <c r="Q163">
        <v>135.19999999999999</v>
      </c>
      <c r="R163">
        <v>146.5</v>
      </c>
      <c r="S163">
        <v>138.5</v>
      </c>
      <c r="T163">
        <v>131.69999999999999</v>
      </c>
      <c r="U163">
        <v>137.5</v>
      </c>
      <c r="V163">
        <v>131.4</v>
      </c>
      <c r="W163">
        <v>131.4</v>
      </c>
      <c r="X163">
        <v>128.80000000000001</v>
      </c>
      <c r="Y163">
        <v>131.19999999999999</v>
      </c>
      <c r="Z163">
        <v>128.5</v>
      </c>
      <c r="AA163">
        <v>116.5</v>
      </c>
      <c r="AB163">
        <v>125.9</v>
      </c>
      <c r="AC163">
        <v>135.4</v>
      </c>
      <c r="AD163">
        <v>123.4</v>
      </c>
      <c r="AE163">
        <v>125.5</v>
      </c>
      <c r="AF163">
        <v>132</v>
      </c>
      <c r="AG163">
        <v>1734.7</v>
      </c>
      <c r="AH163">
        <v>146.5</v>
      </c>
      <c r="AI163">
        <v>270.2</v>
      </c>
      <c r="AJ163">
        <v>640.30000000000007</v>
      </c>
      <c r="AK163">
        <v>128.5</v>
      </c>
      <c r="AL163">
        <v>116.5</v>
      </c>
      <c r="AM163">
        <v>125.9</v>
      </c>
      <c r="AN163">
        <v>135.4</v>
      </c>
    </row>
    <row r="164" spans="1:40" x14ac:dyDescent="0.25">
      <c r="A164" t="s">
        <v>30</v>
      </c>
      <c r="B164">
        <v>2017</v>
      </c>
      <c r="C164" t="s">
        <v>39</v>
      </c>
      <c r="D164" t="s">
        <v>164</v>
      </c>
      <c r="E164">
        <v>134</v>
      </c>
      <c r="F164">
        <v>144.19999999999999</v>
      </c>
      <c r="G164">
        <v>129.80000000000001</v>
      </c>
      <c r="H164">
        <v>139</v>
      </c>
      <c r="I164">
        <v>120.9</v>
      </c>
      <c r="J164">
        <v>143.9</v>
      </c>
      <c r="K164">
        <v>151.5</v>
      </c>
      <c r="L164">
        <v>138.1</v>
      </c>
      <c r="M164">
        <v>120</v>
      </c>
      <c r="N164">
        <v>133.9</v>
      </c>
      <c r="O164">
        <v>131.4</v>
      </c>
      <c r="P164">
        <v>147.69999999999999</v>
      </c>
      <c r="Q164">
        <v>138.5</v>
      </c>
      <c r="R164">
        <v>147.4</v>
      </c>
      <c r="S164">
        <v>144.30000000000001</v>
      </c>
      <c r="T164">
        <v>138.1</v>
      </c>
      <c r="U164">
        <v>143.5</v>
      </c>
      <c r="V164" t="s">
        <v>47</v>
      </c>
      <c r="W164">
        <v>132.6</v>
      </c>
      <c r="X164">
        <v>135.30000000000001</v>
      </c>
      <c r="Y164">
        <v>136.1</v>
      </c>
      <c r="Z164">
        <v>132.1</v>
      </c>
      <c r="AA164">
        <v>119.1</v>
      </c>
      <c r="AB164">
        <v>130.6</v>
      </c>
      <c r="AC164">
        <v>138.6</v>
      </c>
      <c r="AD164">
        <v>124.4</v>
      </c>
      <c r="AE164">
        <v>128.6</v>
      </c>
      <c r="AF164">
        <v>136.19999999999999</v>
      </c>
      <c r="AG164">
        <v>1772.9</v>
      </c>
      <c r="AH164">
        <v>147.4</v>
      </c>
      <c r="AI164">
        <v>282.39999999999998</v>
      </c>
      <c r="AJ164">
        <v>657</v>
      </c>
      <c r="AK164">
        <v>132.1</v>
      </c>
      <c r="AL164">
        <v>119.1</v>
      </c>
      <c r="AM164">
        <v>130.6</v>
      </c>
      <c r="AN164">
        <v>138.6</v>
      </c>
    </row>
    <row r="165" spans="1:40" x14ac:dyDescent="0.25">
      <c r="A165" t="s">
        <v>32</v>
      </c>
      <c r="B165">
        <v>2017</v>
      </c>
      <c r="C165" t="s">
        <v>39</v>
      </c>
      <c r="D165" t="s">
        <v>164</v>
      </c>
      <c r="E165">
        <v>132.80000000000001</v>
      </c>
      <c r="F165">
        <v>148.4</v>
      </c>
      <c r="G165">
        <v>129.4</v>
      </c>
      <c r="H165">
        <v>137.69999999999999</v>
      </c>
      <c r="I165">
        <v>113.4</v>
      </c>
      <c r="J165">
        <v>139.4</v>
      </c>
      <c r="K165">
        <v>175.1</v>
      </c>
      <c r="L165">
        <v>124.7</v>
      </c>
      <c r="M165">
        <v>121.5</v>
      </c>
      <c r="N165">
        <v>137.80000000000001</v>
      </c>
      <c r="O165">
        <v>124.4</v>
      </c>
      <c r="P165">
        <v>143.69999999999999</v>
      </c>
      <c r="Q165">
        <v>139.80000000000001</v>
      </c>
      <c r="R165">
        <v>150.5</v>
      </c>
      <c r="S165">
        <v>131.6</v>
      </c>
      <c r="T165">
        <v>123.7</v>
      </c>
      <c r="U165">
        <v>130.4</v>
      </c>
      <c r="V165">
        <v>132.6</v>
      </c>
      <c r="W165">
        <v>132.6</v>
      </c>
      <c r="X165">
        <v>119.7</v>
      </c>
      <c r="Y165">
        <v>127.2</v>
      </c>
      <c r="Z165">
        <v>125</v>
      </c>
      <c r="AA165">
        <v>113.2</v>
      </c>
      <c r="AB165">
        <v>123.5</v>
      </c>
      <c r="AC165">
        <v>135.5</v>
      </c>
      <c r="AD165">
        <v>122.4</v>
      </c>
      <c r="AE165">
        <v>123</v>
      </c>
      <c r="AF165">
        <v>131.80000000000001</v>
      </c>
      <c r="AG165">
        <v>1768.1</v>
      </c>
      <c r="AH165">
        <v>150.5</v>
      </c>
      <c r="AI165">
        <v>255.3</v>
      </c>
      <c r="AJ165">
        <v>624.9</v>
      </c>
      <c r="AK165">
        <v>125</v>
      </c>
      <c r="AL165">
        <v>113.2</v>
      </c>
      <c r="AM165">
        <v>123.5</v>
      </c>
      <c r="AN165">
        <v>135.5</v>
      </c>
    </row>
    <row r="166" spans="1:40" x14ac:dyDescent="0.25">
      <c r="A166" t="s">
        <v>33</v>
      </c>
      <c r="B166">
        <v>2017</v>
      </c>
      <c r="C166" t="s">
        <v>39</v>
      </c>
      <c r="D166" t="s">
        <v>164</v>
      </c>
      <c r="E166">
        <v>133.6</v>
      </c>
      <c r="F166">
        <v>145.69999999999999</v>
      </c>
      <c r="G166">
        <v>129.6</v>
      </c>
      <c r="H166">
        <v>138.5</v>
      </c>
      <c r="I166">
        <v>118.1</v>
      </c>
      <c r="J166">
        <v>141.80000000000001</v>
      </c>
      <c r="K166">
        <v>159.5</v>
      </c>
      <c r="L166">
        <v>133.6</v>
      </c>
      <c r="M166">
        <v>120.5</v>
      </c>
      <c r="N166">
        <v>135.19999999999999</v>
      </c>
      <c r="O166">
        <v>128.5</v>
      </c>
      <c r="P166">
        <v>145.80000000000001</v>
      </c>
      <c r="Q166">
        <v>139</v>
      </c>
      <c r="R166">
        <v>148.19999999999999</v>
      </c>
      <c r="S166">
        <v>139.30000000000001</v>
      </c>
      <c r="T166">
        <v>132.1</v>
      </c>
      <c r="U166">
        <v>138.30000000000001</v>
      </c>
      <c r="V166">
        <v>132.6</v>
      </c>
      <c r="W166">
        <v>132.6</v>
      </c>
      <c r="X166">
        <v>129.4</v>
      </c>
      <c r="Y166">
        <v>131.9</v>
      </c>
      <c r="Z166">
        <v>129.4</v>
      </c>
      <c r="AA166">
        <v>116</v>
      </c>
      <c r="AB166">
        <v>126.6</v>
      </c>
      <c r="AC166">
        <v>136.80000000000001</v>
      </c>
      <c r="AD166">
        <v>123.6</v>
      </c>
      <c r="AE166">
        <v>125.9</v>
      </c>
      <c r="AF166">
        <v>134.19999999999999</v>
      </c>
      <c r="AG166">
        <v>1769.3999999999999</v>
      </c>
      <c r="AH166">
        <v>148.19999999999999</v>
      </c>
      <c r="AI166">
        <v>271.39999999999998</v>
      </c>
      <c r="AJ166">
        <v>643.4</v>
      </c>
      <c r="AK166">
        <v>129.4</v>
      </c>
      <c r="AL166">
        <v>116</v>
      </c>
      <c r="AM166">
        <v>126.6</v>
      </c>
      <c r="AN166">
        <v>136.80000000000001</v>
      </c>
    </row>
    <row r="167" spans="1:40" x14ac:dyDescent="0.25">
      <c r="A167" t="s">
        <v>30</v>
      </c>
      <c r="B167">
        <v>2017</v>
      </c>
      <c r="C167" t="s">
        <v>40</v>
      </c>
      <c r="D167" t="s">
        <v>160</v>
      </c>
      <c r="E167">
        <v>134.80000000000001</v>
      </c>
      <c r="F167">
        <v>143.1</v>
      </c>
      <c r="G167">
        <v>130</v>
      </c>
      <c r="H167">
        <v>139.4</v>
      </c>
      <c r="I167">
        <v>120.5</v>
      </c>
      <c r="J167">
        <v>148</v>
      </c>
      <c r="K167">
        <v>162.9</v>
      </c>
      <c r="L167">
        <v>137.4</v>
      </c>
      <c r="M167">
        <v>120.8</v>
      </c>
      <c r="N167">
        <v>134.69999999999999</v>
      </c>
      <c r="O167">
        <v>131.6</v>
      </c>
      <c r="P167">
        <v>148.69999999999999</v>
      </c>
      <c r="Q167">
        <v>140.6</v>
      </c>
      <c r="R167">
        <v>149</v>
      </c>
      <c r="S167">
        <v>145.30000000000001</v>
      </c>
      <c r="T167">
        <v>139.19999999999999</v>
      </c>
      <c r="U167">
        <v>144.5</v>
      </c>
      <c r="V167" t="s">
        <v>47</v>
      </c>
      <c r="W167">
        <v>134.4</v>
      </c>
      <c r="X167">
        <v>136.4</v>
      </c>
      <c r="Y167">
        <v>137.30000000000001</v>
      </c>
      <c r="Z167">
        <v>133</v>
      </c>
      <c r="AA167">
        <v>120.3</v>
      </c>
      <c r="AB167">
        <v>131.5</v>
      </c>
      <c r="AC167">
        <v>140.19999999999999</v>
      </c>
      <c r="AD167">
        <v>125.4</v>
      </c>
      <c r="AE167">
        <v>129.69999999999999</v>
      </c>
      <c r="AF167">
        <v>137.80000000000001</v>
      </c>
      <c r="AG167">
        <v>1792.4999999999998</v>
      </c>
      <c r="AH167">
        <v>149</v>
      </c>
      <c r="AI167">
        <v>284.5</v>
      </c>
      <c r="AJ167">
        <v>663.2</v>
      </c>
      <c r="AK167">
        <v>133</v>
      </c>
      <c r="AL167">
        <v>120.3</v>
      </c>
      <c r="AM167">
        <v>131.5</v>
      </c>
      <c r="AN167">
        <v>140.19999999999999</v>
      </c>
    </row>
    <row r="168" spans="1:40" x14ac:dyDescent="0.25">
      <c r="A168" t="s">
        <v>32</v>
      </c>
      <c r="B168">
        <v>2017</v>
      </c>
      <c r="C168" t="s">
        <v>40</v>
      </c>
      <c r="D168" t="s">
        <v>160</v>
      </c>
      <c r="E168">
        <v>133.19999999999999</v>
      </c>
      <c r="F168">
        <v>143.9</v>
      </c>
      <c r="G168">
        <v>128.30000000000001</v>
      </c>
      <c r="H168">
        <v>138.30000000000001</v>
      </c>
      <c r="I168">
        <v>114.1</v>
      </c>
      <c r="J168">
        <v>142.69999999999999</v>
      </c>
      <c r="K168">
        <v>179.8</v>
      </c>
      <c r="L168">
        <v>123.5</v>
      </c>
      <c r="M168">
        <v>122.1</v>
      </c>
      <c r="N168">
        <v>137.5</v>
      </c>
      <c r="O168">
        <v>124.6</v>
      </c>
      <c r="P168">
        <v>144.5</v>
      </c>
      <c r="Q168">
        <v>140.5</v>
      </c>
      <c r="R168">
        <v>152.1</v>
      </c>
      <c r="S168">
        <v>132.69999999999999</v>
      </c>
      <c r="T168">
        <v>124.3</v>
      </c>
      <c r="U168">
        <v>131.4</v>
      </c>
      <c r="V168">
        <v>134.4</v>
      </c>
      <c r="W168">
        <v>134.4</v>
      </c>
      <c r="X168">
        <v>118.9</v>
      </c>
      <c r="Y168">
        <v>127.7</v>
      </c>
      <c r="Z168">
        <v>125.7</v>
      </c>
      <c r="AA168">
        <v>114.6</v>
      </c>
      <c r="AB168">
        <v>124.1</v>
      </c>
      <c r="AC168">
        <v>135.69999999999999</v>
      </c>
      <c r="AD168">
        <v>123.3</v>
      </c>
      <c r="AE168">
        <v>123.8</v>
      </c>
      <c r="AF168">
        <v>132.69999999999999</v>
      </c>
      <c r="AG168">
        <v>1772.9999999999998</v>
      </c>
      <c r="AH168">
        <v>152.1</v>
      </c>
      <c r="AI168">
        <v>257</v>
      </c>
      <c r="AJ168">
        <v>628.1</v>
      </c>
      <c r="AK168">
        <v>125.7</v>
      </c>
      <c r="AL168">
        <v>114.6</v>
      </c>
      <c r="AM168">
        <v>124.1</v>
      </c>
      <c r="AN168">
        <v>135.69999999999999</v>
      </c>
    </row>
    <row r="169" spans="1:40" x14ac:dyDescent="0.25">
      <c r="A169" t="s">
        <v>33</v>
      </c>
      <c r="B169">
        <v>2017</v>
      </c>
      <c r="C169" t="s">
        <v>40</v>
      </c>
      <c r="D169" t="s">
        <v>160</v>
      </c>
      <c r="E169">
        <v>134.30000000000001</v>
      </c>
      <c r="F169">
        <v>143.4</v>
      </c>
      <c r="G169">
        <v>129.30000000000001</v>
      </c>
      <c r="H169">
        <v>139</v>
      </c>
      <c r="I169">
        <v>118.1</v>
      </c>
      <c r="J169">
        <v>145.5</v>
      </c>
      <c r="K169">
        <v>168.6</v>
      </c>
      <c r="L169">
        <v>132.69999999999999</v>
      </c>
      <c r="M169">
        <v>121.2</v>
      </c>
      <c r="N169">
        <v>135.6</v>
      </c>
      <c r="O169">
        <v>128.69999999999999</v>
      </c>
      <c r="P169">
        <v>146.80000000000001</v>
      </c>
      <c r="Q169">
        <v>140.6</v>
      </c>
      <c r="R169">
        <v>149.80000000000001</v>
      </c>
      <c r="S169">
        <v>140.30000000000001</v>
      </c>
      <c r="T169">
        <v>133</v>
      </c>
      <c r="U169">
        <v>139.30000000000001</v>
      </c>
      <c r="V169">
        <v>134.4</v>
      </c>
      <c r="W169">
        <v>134.4</v>
      </c>
      <c r="X169">
        <v>129.80000000000001</v>
      </c>
      <c r="Y169">
        <v>132.80000000000001</v>
      </c>
      <c r="Z169">
        <v>130.19999999999999</v>
      </c>
      <c r="AA169">
        <v>117.3</v>
      </c>
      <c r="AB169">
        <v>127.3</v>
      </c>
      <c r="AC169">
        <v>137.6</v>
      </c>
      <c r="AD169">
        <v>124.5</v>
      </c>
      <c r="AE169">
        <v>126.8</v>
      </c>
      <c r="AF169">
        <v>135.4</v>
      </c>
      <c r="AG169">
        <v>1783.8</v>
      </c>
      <c r="AH169">
        <v>149.80000000000001</v>
      </c>
      <c r="AI169">
        <v>273.3</v>
      </c>
      <c r="AJ169">
        <v>648.29999999999995</v>
      </c>
      <c r="AK169">
        <v>130.19999999999999</v>
      </c>
      <c r="AL169">
        <v>117.3</v>
      </c>
      <c r="AM169">
        <v>127.3</v>
      </c>
      <c r="AN169">
        <v>137.6</v>
      </c>
    </row>
    <row r="170" spans="1:40" x14ac:dyDescent="0.25">
      <c r="A170" t="s">
        <v>30</v>
      </c>
      <c r="B170">
        <v>2017</v>
      </c>
      <c r="C170" t="s">
        <v>41</v>
      </c>
      <c r="D170" t="s">
        <v>170</v>
      </c>
      <c r="E170">
        <v>135.19999999999999</v>
      </c>
      <c r="F170">
        <v>142</v>
      </c>
      <c r="G170">
        <v>130.5</v>
      </c>
      <c r="H170">
        <v>140.19999999999999</v>
      </c>
      <c r="I170">
        <v>120.7</v>
      </c>
      <c r="J170">
        <v>147.80000000000001</v>
      </c>
      <c r="K170">
        <v>154.5</v>
      </c>
      <c r="L170">
        <v>137.1</v>
      </c>
      <c r="M170">
        <v>121</v>
      </c>
      <c r="N170">
        <v>134.69999999999999</v>
      </c>
      <c r="O170">
        <v>131.69999999999999</v>
      </c>
      <c r="P170">
        <v>149.30000000000001</v>
      </c>
      <c r="Q170">
        <v>139.6</v>
      </c>
      <c r="R170">
        <v>149.80000000000001</v>
      </c>
      <c r="S170">
        <v>146.1</v>
      </c>
      <c r="T170">
        <v>139.69999999999999</v>
      </c>
      <c r="U170">
        <v>145.19999999999999</v>
      </c>
      <c r="V170" t="s">
        <v>47</v>
      </c>
      <c r="W170">
        <v>135.69999999999999</v>
      </c>
      <c r="X170">
        <v>137.4</v>
      </c>
      <c r="Y170">
        <v>137.9</v>
      </c>
      <c r="Z170">
        <v>133.4</v>
      </c>
      <c r="AA170">
        <v>121.2</v>
      </c>
      <c r="AB170">
        <v>132.30000000000001</v>
      </c>
      <c r="AC170">
        <v>139.6</v>
      </c>
      <c r="AD170">
        <v>126.7</v>
      </c>
      <c r="AE170">
        <v>130.30000000000001</v>
      </c>
      <c r="AF170">
        <v>137.6</v>
      </c>
      <c r="AG170">
        <v>1784.3</v>
      </c>
      <c r="AH170">
        <v>149.80000000000001</v>
      </c>
      <c r="AI170">
        <v>285.79999999999995</v>
      </c>
      <c r="AJ170">
        <v>668</v>
      </c>
      <c r="AK170">
        <v>133.4</v>
      </c>
      <c r="AL170">
        <v>121.2</v>
      </c>
      <c r="AM170">
        <v>132.30000000000001</v>
      </c>
      <c r="AN170">
        <v>139.6</v>
      </c>
    </row>
    <row r="171" spans="1:40" x14ac:dyDescent="0.25">
      <c r="A171" t="s">
        <v>32</v>
      </c>
      <c r="B171">
        <v>2017</v>
      </c>
      <c r="C171" t="s">
        <v>41</v>
      </c>
      <c r="D171" t="s">
        <v>170</v>
      </c>
      <c r="E171">
        <v>133.6</v>
      </c>
      <c r="F171">
        <v>143</v>
      </c>
      <c r="G171">
        <v>129.69999999999999</v>
      </c>
      <c r="H171">
        <v>138.69999999999999</v>
      </c>
      <c r="I171">
        <v>114.5</v>
      </c>
      <c r="J171">
        <v>137.5</v>
      </c>
      <c r="K171">
        <v>160.69999999999999</v>
      </c>
      <c r="L171">
        <v>124.5</v>
      </c>
      <c r="M171">
        <v>122.4</v>
      </c>
      <c r="N171">
        <v>137.30000000000001</v>
      </c>
      <c r="O171">
        <v>124.8</v>
      </c>
      <c r="P171">
        <v>145</v>
      </c>
      <c r="Q171">
        <v>138</v>
      </c>
      <c r="R171">
        <v>153.6</v>
      </c>
      <c r="S171">
        <v>133.30000000000001</v>
      </c>
      <c r="T171">
        <v>124.6</v>
      </c>
      <c r="U171">
        <v>132</v>
      </c>
      <c r="V171">
        <v>135.69999999999999</v>
      </c>
      <c r="W171">
        <v>135.69999999999999</v>
      </c>
      <c r="X171">
        <v>120.6</v>
      </c>
      <c r="Y171">
        <v>128.1</v>
      </c>
      <c r="Z171">
        <v>126.1</v>
      </c>
      <c r="AA171">
        <v>115.7</v>
      </c>
      <c r="AB171">
        <v>124.5</v>
      </c>
      <c r="AC171">
        <v>135.9</v>
      </c>
      <c r="AD171">
        <v>124.4</v>
      </c>
      <c r="AE171">
        <v>124.5</v>
      </c>
      <c r="AF171">
        <v>132.4</v>
      </c>
      <c r="AG171">
        <v>1749.7</v>
      </c>
      <c r="AH171">
        <v>153.6</v>
      </c>
      <c r="AI171">
        <v>257.89999999999998</v>
      </c>
      <c r="AJ171">
        <v>633.29999999999995</v>
      </c>
      <c r="AK171">
        <v>126.1</v>
      </c>
      <c r="AL171">
        <v>115.7</v>
      </c>
      <c r="AM171">
        <v>124.5</v>
      </c>
      <c r="AN171">
        <v>135.9</v>
      </c>
    </row>
    <row r="172" spans="1:40" x14ac:dyDescent="0.25">
      <c r="A172" t="s">
        <v>33</v>
      </c>
      <c r="B172">
        <v>2017</v>
      </c>
      <c r="C172" t="s">
        <v>41</v>
      </c>
      <c r="D172" t="s">
        <v>170</v>
      </c>
      <c r="E172">
        <v>134.69999999999999</v>
      </c>
      <c r="F172">
        <v>142.4</v>
      </c>
      <c r="G172">
        <v>130.19999999999999</v>
      </c>
      <c r="H172">
        <v>139.6</v>
      </c>
      <c r="I172">
        <v>118.4</v>
      </c>
      <c r="J172">
        <v>143</v>
      </c>
      <c r="K172">
        <v>156.6</v>
      </c>
      <c r="L172">
        <v>132.9</v>
      </c>
      <c r="M172">
        <v>121.5</v>
      </c>
      <c r="N172">
        <v>135.6</v>
      </c>
      <c r="O172">
        <v>128.80000000000001</v>
      </c>
      <c r="P172">
        <v>147.30000000000001</v>
      </c>
      <c r="Q172">
        <v>139</v>
      </c>
      <c r="R172">
        <v>150.80000000000001</v>
      </c>
      <c r="S172">
        <v>141.1</v>
      </c>
      <c r="T172">
        <v>133.4</v>
      </c>
      <c r="U172">
        <v>140</v>
      </c>
      <c r="V172">
        <v>135.69999999999999</v>
      </c>
      <c r="W172">
        <v>135.69999999999999</v>
      </c>
      <c r="X172">
        <v>131</v>
      </c>
      <c r="Y172">
        <v>133.30000000000001</v>
      </c>
      <c r="Z172">
        <v>130.6</v>
      </c>
      <c r="AA172">
        <v>118.3</v>
      </c>
      <c r="AB172">
        <v>127.9</v>
      </c>
      <c r="AC172">
        <v>137.4</v>
      </c>
      <c r="AD172">
        <v>125.7</v>
      </c>
      <c r="AE172">
        <v>127.5</v>
      </c>
      <c r="AF172">
        <v>135.19999999999999</v>
      </c>
      <c r="AG172">
        <v>1769.9999999999998</v>
      </c>
      <c r="AH172">
        <v>150.80000000000001</v>
      </c>
      <c r="AI172">
        <v>274.5</v>
      </c>
      <c r="AJ172">
        <v>653.20000000000005</v>
      </c>
      <c r="AK172">
        <v>130.6</v>
      </c>
      <c r="AL172">
        <v>118.3</v>
      </c>
      <c r="AM172">
        <v>127.9</v>
      </c>
      <c r="AN172">
        <v>137.4</v>
      </c>
    </row>
    <row r="173" spans="1:40" x14ac:dyDescent="0.25">
      <c r="A173" t="s">
        <v>30</v>
      </c>
      <c r="B173">
        <v>2017</v>
      </c>
      <c r="C173" t="s">
        <v>42</v>
      </c>
      <c r="D173" t="s">
        <v>169</v>
      </c>
      <c r="E173">
        <v>135.9</v>
      </c>
      <c r="F173">
        <v>141.9</v>
      </c>
      <c r="G173">
        <v>131</v>
      </c>
      <c r="H173">
        <v>141.5</v>
      </c>
      <c r="I173">
        <v>121.4</v>
      </c>
      <c r="J173">
        <v>146.69999999999999</v>
      </c>
      <c r="K173">
        <v>157.1</v>
      </c>
      <c r="L173">
        <v>136.4</v>
      </c>
      <c r="M173">
        <v>121.4</v>
      </c>
      <c r="N173">
        <v>135.6</v>
      </c>
      <c r="O173">
        <v>131.30000000000001</v>
      </c>
      <c r="P173">
        <v>150.30000000000001</v>
      </c>
      <c r="Q173">
        <v>140.4</v>
      </c>
      <c r="R173">
        <v>150.5</v>
      </c>
      <c r="S173">
        <v>147.19999999999999</v>
      </c>
      <c r="T173">
        <v>140.6</v>
      </c>
      <c r="U173">
        <v>146.19999999999999</v>
      </c>
      <c r="V173" t="s">
        <v>47</v>
      </c>
      <c r="W173">
        <v>137.30000000000001</v>
      </c>
      <c r="X173">
        <v>138.1</v>
      </c>
      <c r="Y173">
        <v>138.4</v>
      </c>
      <c r="Z173">
        <v>134.19999999999999</v>
      </c>
      <c r="AA173">
        <v>121</v>
      </c>
      <c r="AB173">
        <v>133</v>
      </c>
      <c r="AC173">
        <v>140.1</v>
      </c>
      <c r="AD173">
        <v>127.4</v>
      </c>
      <c r="AE173">
        <v>130.69999999999999</v>
      </c>
      <c r="AF173">
        <v>138.30000000000001</v>
      </c>
      <c r="AG173">
        <v>1790.8999999999999</v>
      </c>
      <c r="AH173">
        <v>150.5</v>
      </c>
      <c r="AI173">
        <v>287.79999999999995</v>
      </c>
      <c r="AJ173">
        <v>671.89999999999986</v>
      </c>
      <c r="AK173">
        <v>134.19999999999999</v>
      </c>
      <c r="AL173">
        <v>121</v>
      </c>
      <c r="AM173">
        <v>133</v>
      </c>
      <c r="AN173">
        <v>140.1</v>
      </c>
    </row>
    <row r="174" spans="1:40" x14ac:dyDescent="0.25">
      <c r="A174" t="s">
        <v>32</v>
      </c>
      <c r="B174">
        <v>2017</v>
      </c>
      <c r="C174" t="s">
        <v>42</v>
      </c>
      <c r="D174" t="s">
        <v>169</v>
      </c>
      <c r="E174">
        <v>133.9</v>
      </c>
      <c r="F174">
        <v>142.80000000000001</v>
      </c>
      <c r="G174">
        <v>131.4</v>
      </c>
      <c r="H174">
        <v>139.1</v>
      </c>
      <c r="I174">
        <v>114.9</v>
      </c>
      <c r="J174">
        <v>135.6</v>
      </c>
      <c r="K174">
        <v>173.2</v>
      </c>
      <c r="L174">
        <v>124.1</v>
      </c>
      <c r="M174">
        <v>122.6</v>
      </c>
      <c r="N174">
        <v>137.80000000000001</v>
      </c>
      <c r="O174">
        <v>125.1</v>
      </c>
      <c r="P174">
        <v>145.5</v>
      </c>
      <c r="Q174">
        <v>139.69999999999999</v>
      </c>
      <c r="R174">
        <v>154.6</v>
      </c>
      <c r="S174">
        <v>134</v>
      </c>
      <c r="T174">
        <v>124.9</v>
      </c>
      <c r="U174">
        <v>132.6</v>
      </c>
      <c r="V174">
        <v>137.30000000000001</v>
      </c>
      <c r="W174">
        <v>137.30000000000001</v>
      </c>
      <c r="X174">
        <v>122.6</v>
      </c>
      <c r="Y174">
        <v>128.30000000000001</v>
      </c>
      <c r="Z174">
        <v>126.6</v>
      </c>
      <c r="AA174">
        <v>115</v>
      </c>
      <c r="AB174">
        <v>124.8</v>
      </c>
      <c r="AC174">
        <v>136.30000000000001</v>
      </c>
      <c r="AD174">
        <v>124.6</v>
      </c>
      <c r="AE174">
        <v>124.5</v>
      </c>
      <c r="AF174">
        <v>133.5</v>
      </c>
      <c r="AG174">
        <v>1765.6999999999998</v>
      </c>
      <c r="AH174">
        <v>154.6</v>
      </c>
      <c r="AI174">
        <v>258.89999999999998</v>
      </c>
      <c r="AJ174">
        <v>637.29999999999995</v>
      </c>
      <c r="AK174">
        <v>126.6</v>
      </c>
      <c r="AL174">
        <v>115</v>
      </c>
      <c r="AM174">
        <v>124.8</v>
      </c>
      <c r="AN174">
        <v>136.30000000000001</v>
      </c>
    </row>
    <row r="175" spans="1:40" x14ac:dyDescent="0.25">
      <c r="A175" t="s">
        <v>33</v>
      </c>
      <c r="B175">
        <v>2017</v>
      </c>
      <c r="C175" t="s">
        <v>42</v>
      </c>
      <c r="D175" t="s">
        <v>169</v>
      </c>
      <c r="E175">
        <v>135.30000000000001</v>
      </c>
      <c r="F175">
        <v>142.19999999999999</v>
      </c>
      <c r="G175">
        <v>131.19999999999999</v>
      </c>
      <c r="H175">
        <v>140.6</v>
      </c>
      <c r="I175">
        <v>119</v>
      </c>
      <c r="J175">
        <v>141.5</v>
      </c>
      <c r="K175">
        <v>162.6</v>
      </c>
      <c r="L175">
        <v>132.30000000000001</v>
      </c>
      <c r="M175">
        <v>121.8</v>
      </c>
      <c r="N175">
        <v>136.30000000000001</v>
      </c>
      <c r="O175">
        <v>128.69999999999999</v>
      </c>
      <c r="P175">
        <v>148.1</v>
      </c>
      <c r="Q175">
        <v>140.1</v>
      </c>
      <c r="R175">
        <v>151.6</v>
      </c>
      <c r="S175">
        <v>142</v>
      </c>
      <c r="T175">
        <v>134.1</v>
      </c>
      <c r="U175">
        <v>140.80000000000001</v>
      </c>
      <c r="V175">
        <v>137.30000000000001</v>
      </c>
      <c r="W175">
        <v>137.30000000000001</v>
      </c>
      <c r="X175">
        <v>132.19999999999999</v>
      </c>
      <c r="Y175">
        <v>133.6</v>
      </c>
      <c r="Z175">
        <v>131.30000000000001</v>
      </c>
      <c r="AA175">
        <v>117.8</v>
      </c>
      <c r="AB175">
        <v>128.4</v>
      </c>
      <c r="AC175">
        <v>137.9</v>
      </c>
      <c r="AD175">
        <v>126.2</v>
      </c>
      <c r="AE175">
        <v>127.7</v>
      </c>
      <c r="AF175">
        <v>136.1</v>
      </c>
      <c r="AG175">
        <v>1779.6999999999998</v>
      </c>
      <c r="AH175">
        <v>151.6</v>
      </c>
      <c r="AI175">
        <v>276.10000000000002</v>
      </c>
      <c r="AJ175">
        <v>657.00000000000011</v>
      </c>
      <c r="AK175">
        <v>131.30000000000001</v>
      </c>
      <c r="AL175">
        <v>117.8</v>
      </c>
      <c r="AM175">
        <v>128.4</v>
      </c>
      <c r="AN175">
        <v>137.9</v>
      </c>
    </row>
    <row r="176" spans="1:40" x14ac:dyDescent="0.25">
      <c r="A176" t="s">
        <v>30</v>
      </c>
      <c r="B176">
        <v>2017</v>
      </c>
      <c r="C176" t="s">
        <v>44</v>
      </c>
      <c r="D176" t="s">
        <v>168</v>
      </c>
      <c r="E176">
        <v>136.30000000000001</v>
      </c>
      <c r="F176">
        <v>142.5</v>
      </c>
      <c r="G176">
        <v>140.5</v>
      </c>
      <c r="H176">
        <v>141.5</v>
      </c>
      <c r="I176">
        <v>121.6</v>
      </c>
      <c r="J176">
        <v>147.30000000000001</v>
      </c>
      <c r="K176">
        <v>168</v>
      </c>
      <c r="L176">
        <v>135.80000000000001</v>
      </c>
      <c r="M176">
        <v>122.5</v>
      </c>
      <c r="N176">
        <v>136</v>
      </c>
      <c r="O176">
        <v>131.9</v>
      </c>
      <c r="P176">
        <v>151.4</v>
      </c>
      <c r="Q176">
        <v>142.4</v>
      </c>
      <c r="R176">
        <v>152.1</v>
      </c>
      <c r="S176">
        <v>148.19999999999999</v>
      </c>
      <c r="T176">
        <v>141.5</v>
      </c>
      <c r="U176">
        <v>147.30000000000001</v>
      </c>
      <c r="V176" t="s">
        <v>47</v>
      </c>
      <c r="W176">
        <v>138.6</v>
      </c>
      <c r="X176">
        <v>141.1</v>
      </c>
      <c r="Y176">
        <v>139.4</v>
      </c>
      <c r="Z176">
        <v>135.80000000000001</v>
      </c>
      <c r="AA176">
        <v>121.6</v>
      </c>
      <c r="AB176">
        <v>133.69999999999999</v>
      </c>
      <c r="AC176">
        <v>141.5</v>
      </c>
      <c r="AD176">
        <v>128.1</v>
      </c>
      <c r="AE176">
        <v>131.69999999999999</v>
      </c>
      <c r="AF176">
        <v>140</v>
      </c>
      <c r="AG176">
        <v>1817.7000000000003</v>
      </c>
      <c r="AH176">
        <v>152.1</v>
      </c>
      <c r="AI176">
        <v>289.7</v>
      </c>
      <c r="AJ176">
        <v>678.90000000000009</v>
      </c>
      <c r="AK176">
        <v>135.80000000000001</v>
      </c>
      <c r="AL176">
        <v>121.6</v>
      </c>
      <c r="AM176">
        <v>133.69999999999999</v>
      </c>
      <c r="AN176">
        <v>141.5</v>
      </c>
    </row>
    <row r="177" spans="1:40" x14ac:dyDescent="0.25">
      <c r="A177" t="s">
        <v>32</v>
      </c>
      <c r="B177">
        <v>2017</v>
      </c>
      <c r="C177" t="s">
        <v>44</v>
      </c>
      <c r="D177" t="s">
        <v>168</v>
      </c>
      <c r="E177">
        <v>134.30000000000001</v>
      </c>
      <c r="F177">
        <v>142.1</v>
      </c>
      <c r="G177">
        <v>146.69999999999999</v>
      </c>
      <c r="H177">
        <v>139.5</v>
      </c>
      <c r="I177">
        <v>115.2</v>
      </c>
      <c r="J177">
        <v>136.4</v>
      </c>
      <c r="K177">
        <v>185.2</v>
      </c>
      <c r="L177">
        <v>122.2</v>
      </c>
      <c r="M177">
        <v>123.9</v>
      </c>
      <c r="N177">
        <v>138.30000000000001</v>
      </c>
      <c r="O177">
        <v>125.4</v>
      </c>
      <c r="P177">
        <v>146</v>
      </c>
      <c r="Q177">
        <v>141.5</v>
      </c>
      <c r="R177">
        <v>156.19999999999999</v>
      </c>
      <c r="S177">
        <v>135</v>
      </c>
      <c r="T177">
        <v>125.4</v>
      </c>
      <c r="U177">
        <v>133.5</v>
      </c>
      <c r="V177">
        <v>138.6</v>
      </c>
      <c r="W177">
        <v>138.6</v>
      </c>
      <c r="X177">
        <v>125.7</v>
      </c>
      <c r="Y177">
        <v>128.80000000000001</v>
      </c>
      <c r="Z177">
        <v>127.4</v>
      </c>
      <c r="AA177">
        <v>115.3</v>
      </c>
      <c r="AB177">
        <v>125.1</v>
      </c>
      <c r="AC177">
        <v>136.6</v>
      </c>
      <c r="AD177">
        <v>124.9</v>
      </c>
      <c r="AE177">
        <v>124.9</v>
      </c>
      <c r="AF177">
        <v>134.80000000000001</v>
      </c>
      <c r="AG177">
        <v>1796.7</v>
      </c>
      <c r="AH177">
        <v>156.19999999999999</v>
      </c>
      <c r="AI177">
        <v>260.39999999999998</v>
      </c>
      <c r="AJ177">
        <v>642.9</v>
      </c>
      <c r="AK177">
        <v>127.4</v>
      </c>
      <c r="AL177">
        <v>115.3</v>
      </c>
      <c r="AM177">
        <v>125.1</v>
      </c>
      <c r="AN177">
        <v>136.6</v>
      </c>
    </row>
    <row r="178" spans="1:40" x14ac:dyDescent="0.25">
      <c r="A178" t="s">
        <v>33</v>
      </c>
      <c r="B178">
        <v>2017</v>
      </c>
      <c r="C178" t="s">
        <v>44</v>
      </c>
      <c r="D178" t="s">
        <v>168</v>
      </c>
      <c r="E178">
        <v>135.69999999999999</v>
      </c>
      <c r="F178">
        <v>142.4</v>
      </c>
      <c r="G178">
        <v>142.9</v>
      </c>
      <c r="H178">
        <v>140.80000000000001</v>
      </c>
      <c r="I178">
        <v>119.2</v>
      </c>
      <c r="J178">
        <v>142.19999999999999</v>
      </c>
      <c r="K178">
        <v>173.8</v>
      </c>
      <c r="L178">
        <v>131.19999999999999</v>
      </c>
      <c r="M178">
        <v>123</v>
      </c>
      <c r="N178">
        <v>136.80000000000001</v>
      </c>
      <c r="O178">
        <v>129.19999999999999</v>
      </c>
      <c r="P178">
        <v>148.9</v>
      </c>
      <c r="Q178">
        <v>142.1</v>
      </c>
      <c r="R178">
        <v>153.19999999999999</v>
      </c>
      <c r="S178">
        <v>143</v>
      </c>
      <c r="T178">
        <v>134.80000000000001</v>
      </c>
      <c r="U178">
        <v>141.80000000000001</v>
      </c>
      <c r="V178">
        <v>138.6</v>
      </c>
      <c r="W178">
        <v>138.6</v>
      </c>
      <c r="X178">
        <v>135.30000000000001</v>
      </c>
      <c r="Y178">
        <v>134.4</v>
      </c>
      <c r="Z178">
        <v>132.6</v>
      </c>
      <c r="AA178">
        <v>118.3</v>
      </c>
      <c r="AB178">
        <v>128.9</v>
      </c>
      <c r="AC178">
        <v>138.6</v>
      </c>
      <c r="AD178">
        <v>126.8</v>
      </c>
      <c r="AE178">
        <v>128.4</v>
      </c>
      <c r="AF178">
        <v>137.6</v>
      </c>
      <c r="AG178">
        <v>1808.2</v>
      </c>
      <c r="AH178">
        <v>153.19999999999999</v>
      </c>
      <c r="AI178">
        <v>277.8</v>
      </c>
      <c r="AJ178">
        <v>663.49999999999989</v>
      </c>
      <c r="AK178">
        <v>132.6</v>
      </c>
      <c r="AL178">
        <v>118.3</v>
      </c>
      <c r="AM178">
        <v>128.9</v>
      </c>
      <c r="AN178">
        <v>138.6</v>
      </c>
    </row>
    <row r="179" spans="1:40" x14ac:dyDescent="0.25">
      <c r="A179" t="s">
        <v>30</v>
      </c>
      <c r="B179">
        <v>2017</v>
      </c>
      <c r="C179" t="s">
        <v>45</v>
      </c>
      <c r="D179" t="s">
        <v>161</v>
      </c>
      <c r="E179">
        <v>136.4</v>
      </c>
      <c r="F179">
        <v>143.69999999999999</v>
      </c>
      <c r="G179">
        <v>144.80000000000001</v>
      </c>
      <c r="H179">
        <v>141.9</v>
      </c>
      <c r="I179">
        <v>123.1</v>
      </c>
      <c r="J179">
        <v>147.19999999999999</v>
      </c>
      <c r="K179">
        <v>161</v>
      </c>
      <c r="L179">
        <v>133.80000000000001</v>
      </c>
      <c r="M179">
        <v>121.9</v>
      </c>
      <c r="N179">
        <v>135.80000000000001</v>
      </c>
      <c r="O179">
        <v>131.1</v>
      </c>
      <c r="P179">
        <v>151.4</v>
      </c>
      <c r="Q179">
        <v>141.5</v>
      </c>
      <c r="R179">
        <v>153.19999999999999</v>
      </c>
      <c r="S179">
        <v>148</v>
      </c>
      <c r="T179">
        <v>141.9</v>
      </c>
      <c r="U179">
        <v>147.19999999999999</v>
      </c>
      <c r="V179" t="s">
        <v>47</v>
      </c>
      <c r="W179">
        <v>139.1</v>
      </c>
      <c r="X179">
        <v>142.6</v>
      </c>
      <c r="Y179">
        <v>139.5</v>
      </c>
      <c r="Z179">
        <v>136.1</v>
      </c>
      <c r="AA179">
        <v>122</v>
      </c>
      <c r="AB179">
        <v>133.4</v>
      </c>
      <c r="AC179">
        <v>141.1</v>
      </c>
      <c r="AD179">
        <v>127.8</v>
      </c>
      <c r="AE179">
        <v>131.9</v>
      </c>
      <c r="AF179">
        <v>139.80000000000001</v>
      </c>
      <c r="AG179">
        <v>1813.6000000000001</v>
      </c>
      <c r="AH179">
        <v>153.19999999999999</v>
      </c>
      <c r="AI179">
        <v>289.89999999999998</v>
      </c>
      <c r="AJ179">
        <v>680.9</v>
      </c>
      <c r="AK179">
        <v>136.1</v>
      </c>
      <c r="AL179">
        <v>122</v>
      </c>
      <c r="AM179">
        <v>133.4</v>
      </c>
      <c r="AN179">
        <v>141.1</v>
      </c>
    </row>
    <row r="180" spans="1:40" x14ac:dyDescent="0.25">
      <c r="A180" t="s">
        <v>32</v>
      </c>
      <c r="B180">
        <v>2017</v>
      </c>
      <c r="C180" t="s">
        <v>45</v>
      </c>
      <c r="D180" t="s">
        <v>161</v>
      </c>
      <c r="E180">
        <v>134.4</v>
      </c>
      <c r="F180">
        <v>142.6</v>
      </c>
      <c r="G180">
        <v>145.9</v>
      </c>
      <c r="H180">
        <v>139.5</v>
      </c>
      <c r="I180">
        <v>115.9</v>
      </c>
      <c r="J180">
        <v>135</v>
      </c>
      <c r="K180">
        <v>163.19999999999999</v>
      </c>
      <c r="L180">
        <v>119.8</v>
      </c>
      <c r="M180">
        <v>120.7</v>
      </c>
      <c r="N180">
        <v>139.69999999999999</v>
      </c>
      <c r="O180">
        <v>125.7</v>
      </c>
      <c r="P180">
        <v>146.30000000000001</v>
      </c>
      <c r="Q180">
        <v>138.80000000000001</v>
      </c>
      <c r="R180">
        <v>157</v>
      </c>
      <c r="S180">
        <v>135.6</v>
      </c>
      <c r="T180">
        <v>125.6</v>
      </c>
      <c r="U180">
        <v>134</v>
      </c>
      <c r="V180">
        <v>139.1</v>
      </c>
      <c r="W180">
        <v>139.1</v>
      </c>
      <c r="X180">
        <v>126.8</v>
      </c>
      <c r="Y180">
        <v>129.30000000000001</v>
      </c>
      <c r="Z180">
        <v>128.19999999999999</v>
      </c>
      <c r="AA180">
        <v>115.3</v>
      </c>
      <c r="AB180">
        <v>125.6</v>
      </c>
      <c r="AC180">
        <v>136.69999999999999</v>
      </c>
      <c r="AD180">
        <v>124.6</v>
      </c>
      <c r="AE180">
        <v>125.1</v>
      </c>
      <c r="AF180">
        <v>134.1</v>
      </c>
      <c r="AG180">
        <v>1767.5</v>
      </c>
      <c r="AH180">
        <v>157</v>
      </c>
      <c r="AI180">
        <v>261.2</v>
      </c>
      <c r="AJ180">
        <v>644.9</v>
      </c>
      <c r="AK180">
        <v>128.19999999999999</v>
      </c>
      <c r="AL180">
        <v>115.3</v>
      </c>
      <c r="AM180">
        <v>125.6</v>
      </c>
      <c r="AN180">
        <v>136.69999999999999</v>
      </c>
    </row>
    <row r="181" spans="1:40" x14ac:dyDescent="0.25">
      <c r="A181" t="s">
        <v>33</v>
      </c>
      <c r="B181">
        <v>2017</v>
      </c>
      <c r="C181" t="s">
        <v>45</v>
      </c>
      <c r="D181" t="s">
        <v>161</v>
      </c>
      <c r="E181">
        <v>135.80000000000001</v>
      </c>
      <c r="F181">
        <v>143.30000000000001</v>
      </c>
      <c r="G181">
        <v>145.19999999999999</v>
      </c>
      <c r="H181">
        <v>141</v>
      </c>
      <c r="I181">
        <v>120.5</v>
      </c>
      <c r="J181">
        <v>141.5</v>
      </c>
      <c r="K181">
        <v>161.69999999999999</v>
      </c>
      <c r="L181">
        <v>129.1</v>
      </c>
      <c r="M181">
        <v>121.5</v>
      </c>
      <c r="N181">
        <v>137.1</v>
      </c>
      <c r="O181">
        <v>128.80000000000001</v>
      </c>
      <c r="P181">
        <v>149</v>
      </c>
      <c r="Q181">
        <v>140.5</v>
      </c>
      <c r="R181">
        <v>154.19999999999999</v>
      </c>
      <c r="S181">
        <v>143.1</v>
      </c>
      <c r="T181">
        <v>135.1</v>
      </c>
      <c r="U181">
        <v>142</v>
      </c>
      <c r="V181">
        <v>139.1</v>
      </c>
      <c r="W181">
        <v>139.1</v>
      </c>
      <c r="X181">
        <v>136.6</v>
      </c>
      <c r="Y181">
        <v>134.69999999999999</v>
      </c>
      <c r="Z181">
        <v>133.1</v>
      </c>
      <c r="AA181">
        <v>118.5</v>
      </c>
      <c r="AB181">
        <v>129</v>
      </c>
      <c r="AC181">
        <v>138.5</v>
      </c>
      <c r="AD181">
        <v>126.5</v>
      </c>
      <c r="AE181">
        <v>128.6</v>
      </c>
      <c r="AF181">
        <v>137.19999999999999</v>
      </c>
      <c r="AG181">
        <v>1794.9999999999998</v>
      </c>
      <c r="AH181">
        <v>154.19999999999999</v>
      </c>
      <c r="AI181">
        <v>278.2</v>
      </c>
      <c r="AJ181">
        <v>665.5</v>
      </c>
      <c r="AK181">
        <v>133.1</v>
      </c>
      <c r="AL181">
        <v>118.5</v>
      </c>
      <c r="AM181">
        <v>129</v>
      </c>
      <c r="AN181">
        <v>138.5</v>
      </c>
    </row>
    <row r="182" spans="1:40" x14ac:dyDescent="0.25">
      <c r="A182" t="s">
        <v>30</v>
      </c>
      <c r="B182">
        <v>2018</v>
      </c>
      <c r="C182" t="s">
        <v>31</v>
      </c>
      <c r="D182" t="s">
        <v>175</v>
      </c>
      <c r="E182">
        <v>136.6</v>
      </c>
      <c r="F182">
        <v>144.4</v>
      </c>
      <c r="G182">
        <v>143.80000000000001</v>
      </c>
      <c r="H182">
        <v>142</v>
      </c>
      <c r="I182">
        <v>123.2</v>
      </c>
      <c r="J182">
        <v>147.9</v>
      </c>
      <c r="K182">
        <v>152.1</v>
      </c>
      <c r="L182">
        <v>131.80000000000001</v>
      </c>
      <c r="M182">
        <v>119.5</v>
      </c>
      <c r="N182">
        <v>136</v>
      </c>
      <c r="O182">
        <v>131.19999999999999</v>
      </c>
      <c r="P182">
        <v>151.80000000000001</v>
      </c>
      <c r="Q182">
        <v>140.4</v>
      </c>
      <c r="R182">
        <v>153.6</v>
      </c>
      <c r="S182">
        <v>148.30000000000001</v>
      </c>
      <c r="T182">
        <v>142.30000000000001</v>
      </c>
      <c r="U182">
        <v>147.5</v>
      </c>
      <c r="V182" t="s">
        <v>47</v>
      </c>
      <c r="W182">
        <v>140.4</v>
      </c>
      <c r="X182">
        <v>142.30000000000001</v>
      </c>
      <c r="Y182">
        <v>139.80000000000001</v>
      </c>
      <c r="Z182">
        <v>136</v>
      </c>
      <c r="AA182">
        <v>122.7</v>
      </c>
      <c r="AB182">
        <v>134.30000000000001</v>
      </c>
      <c r="AC182">
        <v>141.6</v>
      </c>
      <c r="AD182">
        <v>128.6</v>
      </c>
      <c r="AE182">
        <v>132.30000000000001</v>
      </c>
      <c r="AF182">
        <v>139.30000000000001</v>
      </c>
      <c r="AG182">
        <v>1800.7</v>
      </c>
      <c r="AH182">
        <v>153.6</v>
      </c>
      <c r="AI182">
        <v>290.60000000000002</v>
      </c>
      <c r="AJ182">
        <v>683.40000000000009</v>
      </c>
      <c r="AK182">
        <v>136</v>
      </c>
      <c r="AL182">
        <v>122.7</v>
      </c>
      <c r="AM182">
        <v>134.30000000000001</v>
      </c>
      <c r="AN182">
        <v>141.6</v>
      </c>
    </row>
    <row r="183" spans="1:40" x14ac:dyDescent="0.25">
      <c r="A183" t="s">
        <v>32</v>
      </c>
      <c r="B183">
        <v>2018</v>
      </c>
      <c r="C183" t="s">
        <v>31</v>
      </c>
      <c r="D183" t="s">
        <v>175</v>
      </c>
      <c r="E183">
        <v>134.6</v>
      </c>
      <c r="F183">
        <v>143.69999999999999</v>
      </c>
      <c r="G183">
        <v>143.6</v>
      </c>
      <c r="H183">
        <v>139.6</v>
      </c>
      <c r="I183">
        <v>116.4</v>
      </c>
      <c r="J183">
        <v>133.80000000000001</v>
      </c>
      <c r="K183">
        <v>150.5</v>
      </c>
      <c r="L183">
        <v>118.4</v>
      </c>
      <c r="M183">
        <v>117.3</v>
      </c>
      <c r="N183">
        <v>140.5</v>
      </c>
      <c r="O183">
        <v>125.9</v>
      </c>
      <c r="P183">
        <v>146.80000000000001</v>
      </c>
      <c r="Q183">
        <v>137.19999999999999</v>
      </c>
      <c r="R183">
        <v>157.69999999999999</v>
      </c>
      <c r="S183">
        <v>136</v>
      </c>
      <c r="T183">
        <v>125.9</v>
      </c>
      <c r="U183">
        <v>134.4</v>
      </c>
      <c r="V183">
        <v>140.4</v>
      </c>
      <c r="W183">
        <v>140.4</v>
      </c>
      <c r="X183">
        <v>127.3</v>
      </c>
      <c r="Y183">
        <v>129.5</v>
      </c>
      <c r="Z183">
        <v>129</v>
      </c>
      <c r="AA183">
        <v>116.3</v>
      </c>
      <c r="AB183">
        <v>126.2</v>
      </c>
      <c r="AC183">
        <v>137.1</v>
      </c>
      <c r="AD183">
        <v>125.5</v>
      </c>
      <c r="AE183">
        <v>125.8</v>
      </c>
      <c r="AF183">
        <v>134.1</v>
      </c>
      <c r="AG183">
        <v>1748.3000000000002</v>
      </c>
      <c r="AH183">
        <v>157.69999999999999</v>
      </c>
      <c r="AI183">
        <v>261.89999999999998</v>
      </c>
      <c r="AJ183">
        <v>648.5</v>
      </c>
      <c r="AK183">
        <v>129</v>
      </c>
      <c r="AL183">
        <v>116.3</v>
      </c>
      <c r="AM183">
        <v>126.2</v>
      </c>
      <c r="AN183">
        <v>137.1</v>
      </c>
    </row>
    <row r="184" spans="1:40" x14ac:dyDescent="0.25">
      <c r="A184" t="s">
        <v>33</v>
      </c>
      <c r="B184">
        <v>2018</v>
      </c>
      <c r="C184" t="s">
        <v>31</v>
      </c>
      <c r="D184" t="s">
        <v>175</v>
      </c>
      <c r="E184">
        <v>136</v>
      </c>
      <c r="F184">
        <v>144.19999999999999</v>
      </c>
      <c r="G184">
        <v>143.69999999999999</v>
      </c>
      <c r="H184">
        <v>141.1</v>
      </c>
      <c r="I184">
        <v>120.7</v>
      </c>
      <c r="J184">
        <v>141.30000000000001</v>
      </c>
      <c r="K184">
        <v>151.6</v>
      </c>
      <c r="L184">
        <v>127.3</v>
      </c>
      <c r="M184">
        <v>118.8</v>
      </c>
      <c r="N184">
        <v>137.5</v>
      </c>
      <c r="O184">
        <v>129</v>
      </c>
      <c r="P184">
        <v>149.5</v>
      </c>
      <c r="Q184">
        <v>139.19999999999999</v>
      </c>
      <c r="R184">
        <v>154.69999999999999</v>
      </c>
      <c r="S184">
        <v>143.5</v>
      </c>
      <c r="T184">
        <v>135.5</v>
      </c>
      <c r="U184">
        <v>142.30000000000001</v>
      </c>
      <c r="V184">
        <v>140.4</v>
      </c>
      <c r="W184">
        <v>140.4</v>
      </c>
      <c r="X184">
        <v>136.6</v>
      </c>
      <c r="Y184">
        <v>134.9</v>
      </c>
      <c r="Z184">
        <v>133.30000000000001</v>
      </c>
      <c r="AA184">
        <v>119.3</v>
      </c>
      <c r="AB184">
        <v>129.69999999999999</v>
      </c>
      <c r="AC184">
        <v>139</v>
      </c>
      <c r="AD184">
        <v>127.3</v>
      </c>
      <c r="AE184">
        <v>129.1</v>
      </c>
      <c r="AF184">
        <v>136.9</v>
      </c>
      <c r="AG184">
        <v>1779.9</v>
      </c>
      <c r="AH184">
        <v>154.69999999999999</v>
      </c>
      <c r="AI184">
        <v>279</v>
      </c>
      <c r="AJ184">
        <v>668.3</v>
      </c>
      <c r="AK184">
        <v>133.30000000000001</v>
      </c>
      <c r="AL184">
        <v>119.3</v>
      </c>
      <c r="AM184">
        <v>129.69999999999999</v>
      </c>
      <c r="AN184">
        <v>139</v>
      </c>
    </row>
    <row r="185" spans="1:40" x14ac:dyDescent="0.25">
      <c r="A185" t="s">
        <v>30</v>
      </c>
      <c r="B185">
        <v>2018</v>
      </c>
      <c r="C185" t="s">
        <v>34</v>
      </c>
      <c r="D185" t="s">
        <v>174</v>
      </c>
      <c r="E185">
        <v>136.4</v>
      </c>
      <c r="F185">
        <v>143.69999999999999</v>
      </c>
      <c r="G185">
        <v>140.6</v>
      </c>
      <c r="H185">
        <v>141.5</v>
      </c>
      <c r="I185">
        <v>122.9</v>
      </c>
      <c r="J185">
        <v>149.4</v>
      </c>
      <c r="K185">
        <v>142.4</v>
      </c>
      <c r="L185">
        <v>130.19999999999999</v>
      </c>
      <c r="M185">
        <v>117.9</v>
      </c>
      <c r="N185">
        <v>135.6</v>
      </c>
      <c r="O185">
        <v>130.5</v>
      </c>
      <c r="P185">
        <v>151.69999999999999</v>
      </c>
      <c r="Q185">
        <v>138.69999999999999</v>
      </c>
      <c r="R185">
        <v>153.30000000000001</v>
      </c>
      <c r="S185">
        <v>148.69999999999999</v>
      </c>
      <c r="T185">
        <v>142.4</v>
      </c>
      <c r="U185">
        <v>147.80000000000001</v>
      </c>
      <c r="V185" t="s">
        <v>47</v>
      </c>
      <c r="W185">
        <v>141.30000000000001</v>
      </c>
      <c r="X185">
        <v>142.4</v>
      </c>
      <c r="Y185">
        <v>139.9</v>
      </c>
      <c r="Z185">
        <v>136.19999999999999</v>
      </c>
      <c r="AA185">
        <v>123.3</v>
      </c>
      <c r="AB185">
        <v>134.30000000000001</v>
      </c>
      <c r="AC185">
        <v>141.5</v>
      </c>
      <c r="AD185">
        <v>128.80000000000001</v>
      </c>
      <c r="AE185">
        <v>132.5</v>
      </c>
      <c r="AF185">
        <v>138.5</v>
      </c>
      <c r="AG185">
        <v>1781.5</v>
      </c>
      <c r="AH185">
        <v>153.30000000000001</v>
      </c>
      <c r="AI185">
        <v>291.10000000000002</v>
      </c>
      <c r="AJ185">
        <v>684.90000000000009</v>
      </c>
      <c r="AK185">
        <v>136.19999999999999</v>
      </c>
      <c r="AL185">
        <v>123.3</v>
      </c>
      <c r="AM185">
        <v>134.30000000000001</v>
      </c>
      <c r="AN185">
        <v>141.5</v>
      </c>
    </row>
    <row r="186" spans="1:40" x14ac:dyDescent="0.25">
      <c r="A186" t="s">
        <v>32</v>
      </c>
      <c r="B186">
        <v>2018</v>
      </c>
      <c r="C186" t="s">
        <v>34</v>
      </c>
      <c r="D186" t="s">
        <v>174</v>
      </c>
      <c r="E186">
        <v>134.80000000000001</v>
      </c>
      <c r="F186">
        <v>143</v>
      </c>
      <c r="G186">
        <v>139.9</v>
      </c>
      <c r="H186">
        <v>139.9</v>
      </c>
      <c r="I186">
        <v>116.2</v>
      </c>
      <c r="J186">
        <v>135.5</v>
      </c>
      <c r="K186">
        <v>136.9</v>
      </c>
      <c r="L186">
        <v>117</v>
      </c>
      <c r="M186">
        <v>115.4</v>
      </c>
      <c r="N186">
        <v>140.69999999999999</v>
      </c>
      <c r="O186">
        <v>125.9</v>
      </c>
      <c r="P186">
        <v>147.1</v>
      </c>
      <c r="Q186">
        <v>135.6</v>
      </c>
      <c r="R186">
        <v>159.30000000000001</v>
      </c>
      <c r="S186">
        <v>136.30000000000001</v>
      </c>
      <c r="T186">
        <v>126.1</v>
      </c>
      <c r="U186">
        <v>134.69999999999999</v>
      </c>
      <c r="V186">
        <v>141.30000000000001</v>
      </c>
      <c r="W186">
        <v>141.30000000000001</v>
      </c>
      <c r="X186">
        <v>127.3</v>
      </c>
      <c r="Y186">
        <v>129.9</v>
      </c>
      <c r="Z186">
        <v>129.80000000000001</v>
      </c>
      <c r="AA186">
        <v>117.4</v>
      </c>
      <c r="AB186">
        <v>126.5</v>
      </c>
      <c r="AC186">
        <v>137.19999999999999</v>
      </c>
      <c r="AD186">
        <v>126.2</v>
      </c>
      <c r="AE186">
        <v>126.5</v>
      </c>
      <c r="AF186">
        <v>134</v>
      </c>
      <c r="AG186">
        <v>1727.9</v>
      </c>
      <c r="AH186">
        <v>159.30000000000001</v>
      </c>
      <c r="AI186">
        <v>262.39999999999998</v>
      </c>
      <c r="AJ186">
        <v>651.20000000000005</v>
      </c>
      <c r="AK186">
        <v>129.80000000000001</v>
      </c>
      <c r="AL186">
        <v>117.4</v>
      </c>
      <c r="AM186">
        <v>126.5</v>
      </c>
      <c r="AN186">
        <v>137.19999999999999</v>
      </c>
    </row>
    <row r="187" spans="1:40" x14ac:dyDescent="0.25">
      <c r="A187" t="s">
        <v>33</v>
      </c>
      <c r="B187">
        <v>2018</v>
      </c>
      <c r="C187" t="s">
        <v>34</v>
      </c>
      <c r="D187" t="s">
        <v>174</v>
      </c>
      <c r="E187">
        <v>135.9</v>
      </c>
      <c r="F187">
        <v>143.5</v>
      </c>
      <c r="G187">
        <v>140.30000000000001</v>
      </c>
      <c r="H187">
        <v>140.9</v>
      </c>
      <c r="I187">
        <v>120.4</v>
      </c>
      <c r="J187">
        <v>142.9</v>
      </c>
      <c r="K187">
        <v>140.5</v>
      </c>
      <c r="L187">
        <v>125.8</v>
      </c>
      <c r="M187">
        <v>117.1</v>
      </c>
      <c r="N187">
        <v>137.30000000000001</v>
      </c>
      <c r="O187">
        <v>128.6</v>
      </c>
      <c r="P187">
        <v>149.6</v>
      </c>
      <c r="Q187">
        <v>137.6</v>
      </c>
      <c r="R187">
        <v>154.9</v>
      </c>
      <c r="S187">
        <v>143.80000000000001</v>
      </c>
      <c r="T187">
        <v>135.6</v>
      </c>
      <c r="U187">
        <v>142.6</v>
      </c>
      <c r="V187">
        <v>141.30000000000001</v>
      </c>
      <c r="W187">
        <v>141.30000000000001</v>
      </c>
      <c r="X187">
        <v>136.69999999999999</v>
      </c>
      <c r="Y187">
        <v>135.19999999999999</v>
      </c>
      <c r="Z187">
        <v>133.80000000000001</v>
      </c>
      <c r="AA187">
        <v>120.2</v>
      </c>
      <c r="AB187">
        <v>129.9</v>
      </c>
      <c r="AC187">
        <v>139</v>
      </c>
      <c r="AD187">
        <v>127.7</v>
      </c>
      <c r="AE187">
        <v>129.6</v>
      </c>
      <c r="AF187">
        <v>136.4</v>
      </c>
      <c r="AG187">
        <v>1760.3999999999996</v>
      </c>
      <c r="AH187">
        <v>154.9</v>
      </c>
      <c r="AI187">
        <v>279.39999999999998</v>
      </c>
      <c r="AJ187">
        <v>670.5</v>
      </c>
      <c r="AK187">
        <v>133.80000000000001</v>
      </c>
      <c r="AL187">
        <v>120.2</v>
      </c>
      <c r="AM187">
        <v>129.9</v>
      </c>
      <c r="AN187">
        <v>139</v>
      </c>
    </row>
    <row r="188" spans="1:40" x14ac:dyDescent="0.25">
      <c r="A188" t="s">
        <v>30</v>
      </c>
      <c r="B188">
        <v>2018</v>
      </c>
      <c r="C188" t="s">
        <v>35</v>
      </c>
      <c r="D188" t="s">
        <v>178</v>
      </c>
      <c r="E188">
        <v>136.80000000000001</v>
      </c>
      <c r="F188">
        <v>143.80000000000001</v>
      </c>
      <c r="G188">
        <v>140</v>
      </c>
      <c r="H188">
        <v>142</v>
      </c>
      <c r="I188">
        <v>123.2</v>
      </c>
      <c r="J188">
        <v>152.9</v>
      </c>
      <c r="K188">
        <v>138</v>
      </c>
      <c r="L188">
        <v>129.30000000000001</v>
      </c>
      <c r="M188">
        <v>117.1</v>
      </c>
      <c r="N188">
        <v>136.30000000000001</v>
      </c>
      <c r="O188">
        <v>131.19999999999999</v>
      </c>
      <c r="P188">
        <v>152.80000000000001</v>
      </c>
      <c r="Q188">
        <v>138.6</v>
      </c>
      <c r="R188">
        <v>155.1</v>
      </c>
      <c r="S188">
        <v>149.19999999999999</v>
      </c>
      <c r="T188">
        <v>143</v>
      </c>
      <c r="U188">
        <v>148.30000000000001</v>
      </c>
      <c r="V188" t="s">
        <v>47</v>
      </c>
      <c r="W188">
        <v>142</v>
      </c>
      <c r="X188">
        <v>142.6</v>
      </c>
      <c r="Y188">
        <v>139.9</v>
      </c>
      <c r="Z188">
        <v>136.69999999999999</v>
      </c>
      <c r="AA188">
        <v>124.6</v>
      </c>
      <c r="AB188">
        <v>135.1</v>
      </c>
      <c r="AC188">
        <v>142.69999999999999</v>
      </c>
      <c r="AD188">
        <v>129.30000000000001</v>
      </c>
      <c r="AE188">
        <v>133.30000000000001</v>
      </c>
      <c r="AF188">
        <v>138.69999999999999</v>
      </c>
      <c r="AG188">
        <v>1781.9999999999998</v>
      </c>
      <c r="AH188">
        <v>155.1</v>
      </c>
      <c r="AI188">
        <v>292.2</v>
      </c>
      <c r="AJ188">
        <v>687.09999999999991</v>
      </c>
      <c r="AK188">
        <v>136.69999999999999</v>
      </c>
      <c r="AL188">
        <v>124.6</v>
      </c>
      <c r="AM188">
        <v>135.1</v>
      </c>
      <c r="AN188">
        <v>142.69999999999999</v>
      </c>
    </row>
    <row r="189" spans="1:40" x14ac:dyDescent="0.25">
      <c r="A189" t="s">
        <v>32</v>
      </c>
      <c r="B189">
        <v>2018</v>
      </c>
      <c r="C189" t="s">
        <v>35</v>
      </c>
      <c r="D189" t="s">
        <v>178</v>
      </c>
      <c r="E189">
        <v>135</v>
      </c>
      <c r="F189">
        <v>143.1</v>
      </c>
      <c r="G189">
        <v>135.5</v>
      </c>
      <c r="H189">
        <v>139.9</v>
      </c>
      <c r="I189">
        <v>116.5</v>
      </c>
      <c r="J189">
        <v>138.5</v>
      </c>
      <c r="K189">
        <v>128</v>
      </c>
      <c r="L189">
        <v>115.5</v>
      </c>
      <c r="M189">
        <v>114.2</v>
      </c>
      <c r="N189">
        <v>140.69999999999999</v>
      </c>
      <c r="O189">
        <v>126.2</v>
      </c>
      <c r="P189">
        <v>147.6</v>
      </c>
      <c r="Q189">
        <v>134.80000000000001</v>
      </c>
      <c r="R189">
        <v>159.69999999999999</v>
      </c>
      <c r="S189">
        <v>136.69999999999999</v>
      </c>
      <c r="T189">
        <v>126.7</v>
      </c>
      <c r="U189">
        <v>135.19999999999999</v>
      </c>
      <c r="V189">
        <v>142</v>
      </c>
      <c r="W189">
        <v>142</v>
      </c>
      <c r="X189">
        <v>126.4</v>
      </c>
      <c r="Y189">
        <v>130.80000000000001</v>
      </c>
      <c r="Z189">
        <v>130.5</v>
      </c>
      <c r="AA189">
        <v>117.8</v>
      </c>
      <c r="AB189">
        <v>126.8</v>
      </c>
      <c r="AC189">
        <v>137.80000000000001</v>
      </c>
      <c r="AD189">
        <v>126.7</v>
      </c>
      <c r="AE189">
        <v>127.1</v>
      </c>
      <c r="AF189">
        <v>134</v>
      </c>
      <c r="AG189">
        <v>1715.5</v>
      </c>
      <c r="AH189">
        <v>159.69999999999999</v>
      </c>
      <c r="AI189">
        <v>263.39999999999998</v>
      </c>
      <c r="AJ189">
        <v>653</v>
      </c>
      <c r="AK189">
        <v>130.5</v>
      </c>
      <c r="AL189">
        <v>117.8</v>
      </c>
      <c r="AM189">
        <v>126.8</v>
      </c>
      <c r="AN189">
        <v>137.80000000000001</v>
      </c>
    </row>
    <row r="190" spans="1:40" x14ac:dyDescent="0.25">
      <c r="A190" t="s">
        <v>33</v>
      </c>
      <c r="B190">
        <v>2018</v>
      </c>
      <c r="C190" t="s">
        <v>35</v>
      </c>
      <c r="D190" t="s">
        <v>178</v>
      </c>
      <c r="E190">
        <v>136.19999999999999</v>
      </c>
      <c r="F190">
        <v>143.6</v>
      </c>
      <c r="G190">
        <v>138.30000000000001</v>
      </c>
      <c r="H190">
        <v>141.19999999999999</v>
      </c>
      <c r="I190">
        <v>120.7</v>
      </c>
      <c r="J190">
        <v>146.19999999999999</v>
      </c>
      <c r="K190">
        <v>134.6</v>
      </c>
      <c r="L190">
        <v>124.6</v>
      </c>
      <c r="M190">
        <v>116.1</v>
      </c>
      <c r="N190">
        <v>137.80000000000001</v>
      </c>
      <c r="O190">
        <v>129.1</v>
      </c>
      <c r="P190">
        <v>150.4</v>
      </c>
      <c r="Q190">
        <v>137.19999999999999</v>
      </c>
      <c r="R190">
        <v>156.30000000000001</v>
      </c>
      <c r="S190">
        <v>144.30000000000001</v>
      </c>
      <c r="T190">
        <v>136.19999999999999</v>
      </c>
      <c r="U190">
        <v>143.1</v>
      </c>
      <c r="V190">
        <v>142</v>
      </c>
      <c r="W190">
        <v>142</v>
      </c>
      <c r="X190">
        <v>136.5</v>
      </c>
      <c r="Y190">
        <v>135.6</v>
      </c>
      <c r="Z190">
        <v>134.30000000000001</v>
      </c>
      <c r="AA190">
        <v>121</v>
      </c>
      <c r="AB190">
        <v>130.4</v>
      </c>
      <c r="AC190">
        <v>139.80000000000001</v>
      </c>
      <c r="AD190">
        <v>128.19999999999999</v>
      </c>
      <c r="AE190">
        <v>130.30000000000001</v>
      </c>
      <c r="AF190">
        <v>136.5</v>
      </c>
      <c r="AG190">
        <v>1756</v>
      </c>
      <c r="AH190">
        <v>156.30000000000001</v>
      </c>
      <c r="AI190">
        <v>280.5</v>
      </c>
      <c r="AJ190">
        <v>672.59999999999991</v>
      </c>
      <c r="AK190">
        <v>134.30000000000001</v>
      </c>
      <c r="AL190">
        <v>121</v>
      </c>
      <c r="AM190">
        <v>130.4</v>
      </c>
      <c r="AN190">
        <v>139.80000000000001</v>
      </c>
    </row>
    <row r="191" spans="1:40" x14ac:dyDescent="0.25">
      <c r="A191" t="s">
        <v>30</v>
      </c>
      <c r="B191">
        <v>2018</v>
      </c>
      <c r="C191" t="s">
        <v>36</v>
      </c>
      <c r="D191" t="s">
        <v>171</v>
      </c>
      <c r="E191">
        <v>137.1</v>
      </c>
      <c r="F191">
        <v>144.5</v>
      </c>
      <c r="G191">
        <v>135.9</v>
      </c>
      <c r="H191">
        <v>142.4</v>
      </c>
      <c r="I191">
        <v>123.5</v>
      </c>
      <c r="J191">
        <v>156.4</v>
      </c>
      <c r="K191">
        <v>135.1</v>
      </c>
      <c r="L191">
        <v>128.4</v>
      </c>
      <c r="M191">
        <v>115.2</v>
      </c>
      <c r="N191">
        <v>137.19999999999999</v>
      </c>
      <c r="O191">
        <v>131.9</v>
      </c>
      <c r="P191">
        <v>153.80000000000001</v>
      </c>
      <c r="Q191">
        <v>138.6</v>
      </c>
      <c r="R191">
        <v>156.1</v>
      </c>
      <c r="S191">
        <v>150.1</v>
      </c>
      <c r="T191">
        <v>143.30000000000001</v>
      </c>
      <c r="U191">
        <v>149.1</v>
      </c>
      <c r="V191" t="s">
        <v>47</v>
      </c>
      <c r="W191">
        <v>142.9</v>
      </c>
      <c r="X191">
        <v>143.80000000000001</v>
      </c>
      <c r="Y191">
        <v>140.9</v>
      </c>
      <c r="Z191">
        <v>137.6</v>
      </c>
      <c r="AA191">
        <v>125.3</v>
      </c>
      <c r="AB191">
        <v>136</v>
      </c>
      <c r="AC191">
        <v>143.69999999999999</v>
      </c>
      <c r="AD191">
        <v>130.4</v>
      </c>
      <c r="AE191">
        <v>134.19999999999999</v>
      </c>
      <c r="AF191">
        <v>139.1</v>
      </c>
      <c r="AG191">
        <v>1780</v>
      </c>
      <c r="AH191">
        <v>156.1</v>
      </c>
      <c r="AI191">
        <v>293.39999999999998</v>
      </c>
      <c r="AJ191">
        <v>692.2</v>
      </c>
      <c r="AK191">
        <v>137.6</v>
      </c>
      <c r="AL191">
        <v>125.3</v>
      </c>
      <c r="AM191">
        <v>136</v>
      </c>
      <c r="AN191">
        <v>143.69999999999999</v>
      </c>
    </row>
    <row r="192" spans="1:40" x14ac:dyDescent="0.25">
      <c r="A192" t="s">
        <v>32</v>
      </c>
      <c r="B192">
        <v>2018</v>
      </c>
      <c r="C192" t="s">
        <v>36</v>
      </c>
      <c r="D192" t="s">
        <v>171</v>
      </c>
      <c r="E192">
        <v>135</v>
      </c>
      <c r="F192">
        <v>144.30000000000001</v>
      </c>
      <c r="G192">
        <v>130.80000000000001</v>
      </c>
      <c r="H192">
        <v>140.30000000000001</v>
      </c>
      <c r="I192">
        <v>116.6</v>
      </c>
      <c r="J192">
        <v>150.1</v>
      </c>
      <c r="K192">
        <v>127.6</v>
      </c>
      <c r="L192">
        <v>114</v>
      </c>
      <c r="M192">
        <v>110.6</v>
      </c>
      <c r="N192">
        <v>140.19999999999999</v>
      </c>
      <c r="O192">
        <v>126.5</v>
      </c>
      <c r="P192">
        <v>148.30000000000001</v>
      </c>
      <c r="Q192">
        <v>135.69999999999999</v>
      </c>
      <c r="R192">
        <v>159.19999999999999</v>
      </c>
      <c r="S192">
        <v>137.80000000000001</v>
      </c>
      <c r="T192">
        <v>127.4</v>
      </c>
      <c r="U192">
        <v>136.19999999999999</v>
      </c>
      <c r="V192">
        <v>142.9</v>
      </c>
      <c r="W192">
        <v>142.9</v>
      </c>
      <c r="X192">
        <v>124.6</v>
      </c>
      <c r="Y192">
        <v>131.80000000000001</v>
      </c>
      <c r="Z192">
        <v>131.30000000000001</v>
      </c>
      <c r="AA192">
        <v>118.9</v>
      </c>
      <c r="AB192">
        <v>127.6</v>
      </c>
      <c r="AC192">
        <v>139.69999999999999</v>
      </c>
      <c r="AD192">
        <v>127.6</v>
      </c>
      <c r="AE192">
        <v>128.19999999999999</v>
      </c>
      <c r="AF192">
        <v>134.80000000000001</v>
      </c>
      <c r="AG192">
        <v>1720.0000000000002</v>
      </c>
      <c r="AH192">
        <v>159.19999999999999</v>
      </c>
      <c r="AI192">
        <v>265.20000000000005</v>
      </c>
      <c r="AJ192">
        <v>655.09999999999991</v>
      </c>
      <c r="AK192">
        <v>131.30000000000001</v>
      </c>
      <c r="AL192">
        <v>118.9</v>
      </c>
      <c r="AM192">
        <v>127.6</v>
      </c>
      <c r="AN192">
        <v>139.69999999999999</v>
      </c>
    </row>
    <row r="193" spans="1:40" x14ac:dyDescent="0.25">
      <c r="A193" t="s">
        <v>33</v>
      </c>
      <c r="B193">
        <v>2018</v>
      </c>
      <c r="C193" t="s">
        <v>36</v>
      </c>
      <c r="D193" t="s">
        <v>171</v>
      </c>
      <c r="E193">
        <v>136.4</v>
      </c>
      <c r="F193">
        <v>144.4</v>
      </c>
      <c r="G193">
        <v>133.9</v>
      </c>
      <c r="H193">
        <v>141.6</v>
      </c>
      <c r="I193">
        <v>121</v>
      </c>
      <c r="J193">
        <v>153.5</v>
      </c>
      <c r="K193">
        <v>132.6</v>
      </c>
      <c r="L193">
        <v>123.5</v>
      </c>
      <c r="M193">
        <v>113.7</v>
      </c>
      <c r="N193">
        <v>138.19999999999999</v>
      </c>
      <c r="O193">
        <v>129.6</v>
      </c>
      <c r="P193">
        <v>151.19999999999999</v>
      </c>
      <c r="Q193">
        <v>137.5</v>
      </c>
      <c r="R193">
        <v>156.9</v>
      </c>
      <c r="S193">
        <v>145.30000000000001</v>
      </c>
      <c r="T193">
        <v>136.69999999999999</v>
      </c>
      <c r="U193">
        <v>144</v>
      </c>
      <c r="V193">
        <v>142.9</v>
      </c>
      <c r="W193">
        <v>142.9</v>
      </c>
      <c r="X193">
        <v>136.5</v>
      </c>
      <c r="Y193">
        <v>136.6</v>
      </c>
      <c r="Z193">
        <v>135.19999999999999</v>
      </c>
      <c r="AA193">
        <v>121.9</v>
      </c>
      <c r="AB193">
        <v>131.30000000000001</v>
      </c>
      <c r="AC193">
        <v>141.4</v>
      </c>
      <c r="AD193">
        <v>129.19999999999999</v>
      </c>
      <c r="AE193">
        <v>131.30000000000001</v>
      </c>
      <c r="AF193">
        <v>137.1</v>
      </c>
      <c r="AG193">
        <v>1757.1000000000001</v>
      </c>
      <c r="AH193">
        <v>156.9</v>
      </c>
      <c r="AI193">
        <v>282</v>
      </c>
      <c r="AJ193">
        <v>676.5</v>
      </c>
      <c r="AK193">
        <v>135.19999999999999</v>
      </c>
      <c r="AL193">
        <v>121.9</v>
      </c>
      <c r="AM193">
        <v>131.30000000000001</v>
      </c>
      <c r="AN193">
        <v>141.4</v>
      </c>
    </row>
    <row r="194" spans="1:40" x14ac:dyDescent="0.25">
      <c r="A194" t="s">
        <v>30</v>
      </c>
      <c r="B194">
        <v>2018</v>
      </c>
      <c r="C194" t="s">
        <v>37</v>
      </c>
      <c r="D194" t="s">
        <v>179</v>
      </c>
      <c r="E194">
        <v>137.4</v>
      </c>
      <c r="F194">
        <v>145.69999999999999</v>
      </c>
      <c r="G194">
        <v>135.5</v>
      </c>
      <c r="H194">
        <v>142.9</v>
      </c>
      <c r="I194">
        <v>123.6</v>
      </c>
      <c r="J194">
        <v>157.5</v>
      </c>
      <c r="K194">
        <v>137.80000000000001</v>
      </c>
      <c r="L194">
        <v>127.2</v>
      </c>
      <c r="M194">
        <v>111.8</v>
      </c>
      <c r="N194">
        <v>137.4</v>
      </c>
      <c r="O194">
        <v>132.19999999999999</v>
      </c>
      <c r="P194">
        <v>154.30000000000001</v>
      </c>
      <c r="Q194">
        <v>139.1</v>
      </c>
      <c r="R194">
        <v>157</v>
      </c>
      <c r="S194">
        <v>150.80000000000001</v>
      </c>
      <c r="T194">
        <v>144.1</v>
      </c>
      <c r="U194">
        <v>149.80000000000001</v>
      </c>
      <c r="V194" t="s">
        <v>47</v>
      </c>
      <c r="W194">
        <v>143.19999999999999</v>
      </c>
      <c r="X194">
        <v>144.30000000000001</v>
      </c>
      <c r="Y194">
        <v>141.80000000000001</v>
      </c>
      <c r="Z194">
        <v>138.4</v>
      </c>
      <c r="AA194">
        <v>126.4</v>
      </c>
      <c r="AB194">
        <v>136.80000000000001</v>
      </c>
      <c r="AC194">
        <v>144.4</v>
      </c>
      <c r="AD194">
        <v>131.19999999999999</v>
      </c>
      <c r="AE194">
        <v>135.1</v>
      </c>
      <c r="AF194">
        <v>139.80000000000001</v>
      </c>
      <c r="AG194">
        <v>1782.4</v>
      </c>
      <c r="AH194">
        <v>157</v>
      </c>
      <c r="AI194">
        <v>294.89999999999998</v>
      </c>
      <c r="AJ194">
        <v>695.6</v>
      </c>
      <c r="AK194">
        <v>138.4</v>
      </c>
      <c r="AL194">
        <v>126.4</v>
      </c>
      <c r="AM194">
        <v>136.80000000000001</v>
      </c>
      <c r="AN194">
        <v>144.4</v>
      </c>
    </row>
    <row r="195" spans="1:40" x14ac:dyDescent="0.25">
      <c r="A195" t="s">
        <v>32</v>
      </c>
      <c r="B195">
        <v>2018</v>
      </c>
      <c r="C195" t="s">
        <v>37</v>
      </c>
      <c r="D195" t="s">
        <v>179</v>
      </c>
      <c r="E195">
        <v>135</v>
      </c>
      <c r="F195">
        <v>148.19999999999999</v>
      </c>
      <c r="G195">
        <v>130.5</v>
      </c>
      <c r="H195">
        <v>140.69999999999999</v>
      </c>
      <c r="I195">
        <v>116.4</v>
      </c>
      <c r="J195">
        <v>151.30000000000001</v>
      </c>
      <c r="K195">
        <v>131.4</v>
      </c>
      <c r="L195">
        <v>112.8</v>
      </c>
      <c r="M195">
        <v>105.3</v>
      </c>
      <c r="N195">
        <v>139.6</v>
      </c>
      <c r="O195">
        <v>126.6</v>
      </c>
      <c r="P195">
        <v>148.69999999999999</v>
      </c>
      <c r="Q195">
        <v>136.4</v>
      </c>
      <c r="R195">
        <v>160.30000000000001</v>
      </c>
      <c r="S195">
        <v>138.6</v>
      </c>
      <c r="T195">
        <v>127.9</v>
      </c>
      <c r="U195">
        <v>137</v>
      </c>
      <c r="V195">
        <v>143.19999999999999</v>
      </c>
      <c r="W195">
        <v>143.19999999999999</v>
      </c>
      <c r="X195">
        <v>124.7</v>
      </c>
      <c r="Y195">
        <v>132.5</v>
      </c>
      <c r="Z195">
        <v>132</v>
      </c>
      <c r="AA195">
        <v>119.8</v>
      </c>
      <c r="AB195">
        <v>128</v>
      </c>
      <c r="AC195">
        <v>140.4</v>
      </c>
      <c r="AD195">
        <v>128.1</v>
      </c>
      <c r="AE195">
        <v>128.9</v>
      </c>
      <c r="AF195">
        <v>135.4</v>
      </c>
      <c r="AG195">
        <v>1722.8999999999999</v>
      </c>
      <c r="AH195">
        <v>160.30000000000001</v>
      </c>
      <c r="AI195">
        <v>266.5</v>
      </c>
      <c r="AJ195">
        <v>657.4</v>
      </c>
      <c r="AK195">
        <v>132</v>
      </c>
      <c r="AL195">
        <v>119.8</v>
      </c>
      <c r="AM195">
        <v>128</v>
      </c>
      <c r="AN195">
        <v>140.4</v>
      </c>
    </row>
    <row r="196" spans="1:40" x14ac:dyDescent="0.25">
      <c r="A196" t="s">
        <v>33</v>
      </c>
      <c r="B196">
        <v>2018</v>
      </c>
      <c r="C196" t="s">
        <v>37</v>
      </c>
      <c r="D196" t="s">
        <v>179</v>
      </c>
      <c r="E196">
        <v>136.6</v>
      </c>
      <c r="F196">
        <v>146.6</v>
      </c>
      <c r="G196">
        <v>133.6</v>
      </c>
      <c r="H196">
        <v>142.1</v>
      </c>
      <c r="I196">
        <v>121</v>
      </c>
      <c r="J196">
        <v>154.6</v>
      </c>
      <c r="K196">
        <v>135.6</v>
      </c>
      <c r="L196">
        <v>122.3</v>
      </c>
      <c r="M196">
        <v>109.6</v>
      </c>
      <c r="N196">
        <v>138.1</v>
      </c>
      <c r="O196">
        <v>129.9</v>
      </c>
      <c r="P196">
        <v>151.69999999999999</v>
      </c>
      <c r="Q196">
        <v>138.1</v>
      </c>
      <c r="R196">
        <v>157.9</v>
      </c>
      <c r="S196">
        <v>146</v>
      </c>
      <c r="T196">
        <v>137.4</v>
      </c>
      <c r="U196">
        <v>144.69999999999999</v>
      </c>
      <c r="V196">
        <v>143.19999999999999</v>
      </c>
      <c r="W196">
        <v>143.19999999999999</v>
      </c>
      <c r="X196">
        <v>136.9</v>
      </c>
      <c r="Y196">
        <v>137.4</v>
      </c>
      <c r="Z196">
        <v>136</v>
      </c>
      <c r="AA196">
        <v>122.9</v>
      </c>
      <c r="AB196">
        <v>131.80000000000001</v>
      </c>
      <c r="AC196">
        <v>142.1</v>
      </c>
      <c r="AD196">
        <v>129.9</v>
      </c>
      <c r="AE196">
        <v>132.1</v>
      </c>
      <c r="AF196">
        <v>137.80000000000001</v>
      </c>
      <c r="AG196">
        <v>1759.8</v>
      </c>
      <c r="AH196">
        <v>157.9</v>
      </c>
      <c r="AI196">
        <v>283.39999999999998</v>
      </c>
      <c r="AJ196">
        <v>679.5</v>
      </c>
      <c r="AK196">
        <v>136</v>
      </c>
      <c r="AL196">
        <v>122.9</v>
      </c>
      <c r="AM196">
        <v>131.80000000000001</v>
      </c>
      <c r="AN196">
        <v>142.1</v>
      </c>
    </row>
    <row r="197" spans="1:40" x14ac:dyDescent="0.25">
      <c r="A197" t="s">
        <v>30</v>
      </c>
      <c r="B197">
        <v>2018</v>
      </c>
      <c r="C197" t="s">
        <v>38</v>
      </c>
      <c r="D197" t="s">
        <v>177</v>
      </c>
      <c r="E197">
        <v>137.6</v>
      </c>
      <c r="F197">
        <v>148.1</v>
      </c>
      <c r="G197">
        <v>136.69999999999999</v>
      </c>
      <c r="H197">
        <v>143.19999999999999</v>
      </c>
      <c r="I197">
        <v>124</v>
      </c>
      <c r="J197">
        <v>154.1</v>
      </c>
      <c r="K197">
        <v>143.5</v>
      </c>
      <c r="L197">
        <v>126</v>
      </c>
      <c r="M197">
        <v>112.4</v>
      </c>
      <c r="N197">
        <v>137.6</v>
      </c>
      <c r="O197">
        <v>132.80000000000001</v>
      </c>
      <c r="P197">
        <v>154.30000000000001</v>
      </c>
      <c r="Q197">
        <v>140</v>
      </c>
      <c r="R197">
        <v>157.30000000000001</v>
      </c>
      <c r="S197">
        <v>151.30000000000001</v>
      </c>
      <c r="T197">
        <v>144.69999999999999</v>
      </c>
      <c r="U197">
        <v>150.30000000000001</v>
      </c>
      <c r="V197" t="s">
        <v>47</v>
      </c>
      <c r="W197">
        <v>142.5</v>
      </c>
      <c r="X197">
        <v>145.1</v>
      </c>
      <c r="Y197">
        <v>142.19999999999999</v>
      </c>
      <c r="Z197">
        <v>138.4</v>
      </c>
      <c r="AA197">
        <v>127.4</v>
      </c>
      <c r="AB197">
        <v>137.80000000000001</v>
      </c>
      <c r="AC197">
        <v>145.1</v>
      </c>
      <c r="AD197">
        <v>131.4</v>
      </c>
      <c r="AE197">
        <v>135.6</v>
      </c>
      <c r="AF197">
        <v>140.5</v>
      </c>
      <c r="AG197">
        <v>1790.2999999999997</v>
      </c>
      <c r="AH197">
        <v>157.30000000000001</v>
      </c>
      <c r="AI197">
        <v>296</v>
      </c>
      <c r="AJ197">
        <v>696.80000000000007</v>
      </c>
      <c r="AK197">
        <v>138.4</v>
      </c>
      <c r="AL197">
        <v>127.4</v>
      </c>
      <c r="AM197">
        <v>137.80000000000001</v>
      </c>
      <c r="AN197">
        <v>145.1</v>
      </c>
    </row>
    <row r="198" spans="1:40" x14ac:dyDescent="0.25">
      <c r="A198" t="s">
        <v>32</v>
      </c>
      <c r="B198">
        <v>2018</v>
      </c>
      <c r="C198" t="s">
        <v>38</v>
      </c>
      <c r="D198" t="s">
        <v>177</v>
      </c>
      <c r="E198">
        <v>135.30000000000001</v>
      </c>
      <c r="F198">
        <v>149.69999999999999</v>
      </c>
      <c r="G198">
        <v>133.9</v>
      </c>
      <c r="H198">
        <v>140.80000000000001</v>
      </c>
      <c r="I198">
        <v>116.6</v>
      </c>
      <c r="J198">
        <v>152.19999999999999</v>
      </c>
      <c r="K198">
        <v>144</v>
      </c>
      <c r="L198">
        <v>112.3</v>
      </c>
      <c r="M198">
        <v>108.4</v>
      </c>
      <c r="N198">
        <v>140</v>
      </c>
      <c r="O198">
        <v>126.7</v>
      </c>
      <c r="P198">
        <v>149</v>
      </c>
      <c r="Q198">
        <v>138.4</v>
      </c>
      <c r="R198">
        <v>161</v>
      </c>
      <c r="S198">
        <v>138.9</v>
      </c>
      <c r="T198">
        <v>128.69999999999999</v>
      </c>
      <c r="U198">
        <v>137.4</v>
      </c>
      <c r="V198">
        <v>142.5</v>
      </c>
      <c r="W198">
        <v>142.5</v>
      </c>
      <c r="X198">
        <v>126.5</v>
      </c>
      <c r="Y198">
        <v>133.1</v>
      </c>
      <c r="Z198">
        <v>132.6</v>
      </c>
      <c r="AA198">
        <v>120.4</v>
      </c>
      <c r="AB198">
        <v>128.5</v>
      </c>
      <c r="AC198">
        <v>141.19999999999999</v>
      </c>
      <c r="AD198">
        <v>128.19999999999999</v>
      </c>
      <c r="AE198">
        <v>129.5</v>
      </c>
      <c r="AF198">
        <v>136.19999999999999</v>
      </c>
      <c r="AG198">
        <v>1747.3000000000002</v>
      </c>
      <c r="AH198">
        <v>161</v>
      </c>
      <c r="AI198">
        <v>267.60000000000002</v>
      </c>
      <c r="AJ198">
        <v>659.8</v>
      </c>
      <c r="AK198">
        <v>132.6</v>
      </c>
      <c r="AL198">
        <v>120.4</v>
      </c>
      <c r="AM198">
        <v>128.5</v>
      </c>
      <c r="AN198">
        <v>141.19999999999999</v>
      </c>
    </row>
    <row r="199" spans="1:40" x14ac:dyDescent="0.25">
      <c r="A199" t="s">
        <v>33</v>
      </c>
      <c r="B199">
        <v>2018</v>
      </c>
      <c r="C199" t="s">
        <v>38</v>
      </c>
      <c r="D199" t="s">
        <v>177</v>
      </c>
      <c r="E199">
        <v>136.9</v>
      </c>
      <c r="F199">
        <v>148.69999999999999</v>
      </c>
      <c r="G199">
        <v>135.6</v>
      </c>
      <c r="H199">
        <v>142.30000000000001</v>
      </c>
      <c r="I199">
        <v>121.3</v>
      </c>
      <c r="J199">
        <v>153.19999999999999</v>
      </c>
      <c r="K199">
        <v>143.69999999999999</v>
      </c>
      <c r="L199">
        <v>121.4</v>
      </c>
      <c r="M199">
        <v>111.1</v>
      </c>
      <c r="N199">
        <v>138.4</v>
      </c>
      <c r="O199">
        <v>130.30000000000001</v>
      </c>
      <c r="P199">
        <v>151.80000000000001</v>
      </c>
      <c r="Q199">
        <v>139.4</v>
      </c>
      <c r="R199">
        <v>158.30000000000001</v>
      </c>
      <c r="S199">
        <v>146.4</v>
      </c>
      <c r="T199">
        <v>138.1</v>
      </c>
      <c r="U199">
        <v>145.19999999999999</v>
      </c>
      <c r="V199">
        <v>142.5</v>
      </c>
      <c r="W199">
        <v>142.5</v>
      </c>
      <c r="X199">
        <v>138.1</v>
      </c>
      <c r="Y199">
        <v>137.9</v>
      </c>
      <c r="Z199">
        <v>136.19999999999999</v>
      </c>
      <c r="AA199">
        <v>123.7</v>
      </c>
      <c r="AB199">
        <v>132.6</v>
      </c>
      <c r="AC199">
        <v>142.80000000000001</v>
      </c>
      <c r="AD199">
        <v>130.1</v>
      </c>
      <c r="AE199">
        <v>132.6</v>
      </c>
      <c r="AF199">
        <v>138.5</v>
      </c>
      <c r="AG199">
        <v>1774.1000000000001</v>
      </c>
      <c r="AH199">
        <v>158.30000000000001</v>
      </c>
      <c r="AI199">
        <v>284.5</v>
      </c>
      <c r="AJ199">
        <v>681.2</v>
      </c>
      <c r="AK199">
        <v>136.19999999999999</v>
      </c>
      <c r="AL199">
        <v>123.7</v>
      </c>
      <c r="AM199">
        <v>132.6</v>
      </c>
      <c r="AN199">
        <v>142.80000000000001</v>
      </c>
    </row>
    <row r="200" spans="1:40" x14ac:dyDescent="0.25">
      <c r="A200" t="s">
        <v>30</v>
      </c>
      <c r="B200">
        <v>2018</v>
      </c>
      <c r="C200" t="s">
        <v>39</v>
      </c>
      <c r="D200" t="s">
        <v>176</v>
      </c>
      <c r="E200">
        <v>138.4</v>
      </c>
      <c r="F200">
        <v>149.30000000000001</v>
      </c>
      <c r="G200">
        <v>139.30000000000001</v>
      </c>
      <c r="H200">
        <v>143.4</v>
      </c>
      <c r="I200">
        <v>124.1</v>
      </c>
      <c r="J200">
        <v>153.30000000000001</v>
      </c>
      <c r="K200">
        <v>154.19999999999999</v>
      </c>
      <c r="L200">
        <v>126.4</v>
      </c>
      <c r="M200">
        <v>114.3</v>
      </c>
      <c r="N200">
        <v>138.19999999999999</v>
      </c>
      <c r="O200">
        <v>132.80000000000001</v>
      </c>
      <c r="P200">
        <v>154.80000000000001</v>
      </c>
      <c r="Q200">
        <v>142</v>
      </c>
      <c r="R200">
        <v>156.1</v>
      </c>
      <c r="S200">
        <v>151.5</v>
      </c>
      <c r="T200">
        <v>145.1</v>
      </c>
      <c r="U200">
        <v>150.6</v>
      </c>
      <c r="V200" t="s">
        <v>47</v>
      </c>
      <c r="W200">
        <v>143.6</v>
      </c>
      <c r="X200">
        <v>146.80000000000001</v>
      </c>
      <c r="Y200">
        <v>143.1</v>
      </c>
      <c r="Z200">
        <v>139</v>
      </c>
      <c r="AA200">
        <v>127.5</v>
      </c>
      <c r="AB200">
        <v>138.4</v>
      </c>
      <c r="AC200">
        <v>145.80000000000001</v>
      </c>
      <c r="AD200">
        <v>131.4</v>
      </c>
      <c r="AE200">
        <v>136</v>
      </c>
      <c r="AF200">
        <v>141.80000000000001</v>
      </c>
      <c r="AG200">
        <v>1810.5000000000002</v>
      </c>
      <c r="AH200">
        <v>156.1</v>
      </c>
      <c r="AI200">
        <v>296.60000000000002</v>
      </c>
      <c r="AJ200">
        <v>700.9</v>
      </c>
      <c r="AK200">
        <v>139</v>
      </c>
      <c r="AL200">
        <v>127.5</v>
      </c>
      <c r="AM200">
        <v>138.4</v>
      </c>
      <c r="AN200">
        <v>145.80000000000001</v>
      </c>
    </row>
    <row r="201" spans="1:40" x14ac:dyDescent="0.25">
      <c r="A201" t="s">
        <v>32</v>
      </c>
      <c r="B201">
        <v>2018</v>
      </c>
      <c r="C201" t="s">
        <v>39</v>
      </c>
      <c r="D201" t="s">
        <v>176</v>
      </c>
      <c r="E201">
        <v>135.6</v>
      </c>
      <c r="F201">
        <v>148.6</v>
      </c>
      <c r="G201">
        <v>139.1</v>
      </c>
      <c r="H201">
        <v>141</v>
      </c>
      <c r="I201">
        <v>116.7</v>
      </c>
      <c r="J201">
        <v>149.69999999999999</v>
      </c>
      <c r="K201">
        <v>159.19999999999999</v>
      </c>
      <c r="L201">
        <v>112.6</v>
      </c>
      <c r="M201">
        <v>111.8</v>
      </c>
      <c r="N201">
        <v>140.30000000000001</v>
      </c>
      <c r="O201">
        <v>126.8</v>
      </c>
      <c r="P201">
        <v>149.4</v>
      </c>
      <c r="Q201">
        <v>140.30000000000001</v>
      </c>
      <c r="R201">
        <v>161.4</v>
      </c>
      <c r="S201">
        <v>139.6</v>
      </c>
      <c r="T201">
        <v>128.9</v>
      </c>
      <c r="U201">
        <v>137.9</v>
      </c>
      <c r="V201">
        <v>143.6</v>
      </c>
      <c r="W201">
        <v>143.6</v>
      </c>
      <c r="X201">
        <v>128.1</v>
      </c>
      <c r="Y201">
        <v>133.6</v>
      </c>
      <c r="Z201">
        <v>133.6</v>
      </c>
      <c r="AA201">
        <v>120.1</v>
      </c>
      <c r="AB201">
        <v>129</v>
      </c>
      <c r="AC201">
        <v>144</v>
      </c>
      <c r="AD201">
        <v>128.19999999999999</v>
      </c>
      <c r="AE201">
        <v>130.19999999999999</v>
      </c>
      <c r="AF201">
        <v>137.5</v>
      </c>
      <c r="AG201">
        <v>1771.1</v>
      </c>
      <c r="AH201">
        <v>161.4</v>
      </c>
      <c r="AI201">
        <v>268.5</v>
      </c>
      <c r="AJ201">
        <v>663.7</v>
      </c>
      <c r="AK201">
        <v>133.6</v>
      </c>
      <c r="AL201">
        <v>120.1</v>
      </c>
      <c r="AM201">
        <v>129</v>
      </c>
      <c r="AN201">
        <v>144</v>
      </c>
    </row>
    <row r="202" spans="1:40" x14ac:dyDescent="0.25">
      <c r="A202" t="s">
        <v>33</v>
      </c>
      <c r="B202">
        <v>2018</v>
      </c>
      <c r="C202" t="s">
        <v>39</v>
      </c>
      <c r="D202" t="s">
        <v>176</v>
      </c>
      <c r="E202">
        <v>137.5</v>
      </c>
      <c r="F202">
        <v>149.1</v>
      </c>
      <c r="G202">
        <v>139.19999999999999</v>
      </c>
      <c r="H202">
        <v>142.5</v>
      </c>
      <c r="I202">
        <v>121.4</v>
      </c>
      <c r="J202">
        <v>151.6</v>
      </c>
      <c r="K202">
        <v>155.9</v>
      </c>
      <c r="L202">
        <v>121.7</v>
      </c>
      <c r="M202">
        <v>113.5</v>
      </c>
      <c r="N202">
        <v>138.9</v>
      </c>
      <c r="O202">
        <v>130.30000000000001</v>
      </c>
      <c r="P202">
        <v>152.30000000000001</v>
      </c>
      <c r="Q202">
        <v>141.4</v>
      </c>
      <c r="R202">
        <v>157.5</v>
      </c>
      <c r="S202">
        <v>146.80000000000001</v>
      </c>
      <c r="T202">
        <v>138.4</v>
      </c>
      <c r="U202">
        <v>145.6</v>
      </c>
      <c r="V202">
        <v>143.6</v>
      </c>
      <c r="W202">
        <v>143.6</v>
      </c>
      <c r="X202">
        <v>139.69999999999999</v>
      </c>
      <c r="Y202">
        <v>138.6</v>
      </c>
      <c r="Z202">
        <v>137</v>
      </c>
      <c r="AA202">
        <v>123.6</v>
      </c>
      <c r="AB202">
        <v>133.1</v>
      </c>
      <c r="AC202">
        <v>144.69999999999999</v>
      </c>
      <c r="AD202">
        <v>130.1</v>
      </c>
      <c r="AE202">
        <v>133.19999999999999</v>
      </c>
      <c r="AF202">
        <v>139.80000000000001</v>
      </c>
      <c r="AG202">
        <v>1795.3</v>
      </c>
      <c r="AH202">
        <v>157.5</v>
      </c>
      <c r="AI202">
        <v>285.20000000000005</v>
      </c>
      <c r="AJ202">
        <v>685.2</v>
      </c>
      <c r="AK202">
        <v>137</v>
      </c>
      <c r="AL202">
        <v>123.6</v>
      </c>
      <c r="AM202">
        <v>133.1</v>
      </c>
      <c r="AN202">
        <v>144.69999999999999</v>
      </c>
    </row>
    <row r="203" spans="1:40" x14ac:dyDescent="0.25">
      <c r="A203" t="s">
        <v>30</v>
      </c>
      <c r="B203">
        <v>2018</v>
      </c>
      <c r="C203" t="s">
        <v>40</v>
      </c>
      <c r="D203" t="s">
        <v>172</v>
      </c>
      <c r="E203">
        <v>139.19999999999999</v>
      </c>
      <c r="F203">
        <v>148.80000000000001</v>
      </c>
      <c r="G203">
        <v>139.1</v>
      </c>
      <c r="H203">
        <v>143.5</v>
      </c>
      <c r="I203">
        <v>125</v>
      </c>
      <c r="J203">
        <v>154.4</v>
      </c>
      <c r="K203">
        <v>156.30000000000001</v>
      </c>
      <c r="L203">
        <v>126.8</v>
      </c>
      <c r="M203">
        <v>115.4</v>
      </c>
      <c r="N203">
        <v>138.6</v>
      </c>
      <c r="O203">
        <v>133.80000000000001</v>
      </c>
      <c r="P203">
        <v>155.19999999999999</v>
      </c>
      <c r="Q203">
        <v>142.69999999999999</v>
      </c>
      <c r="R203">
        <v>156.4</v>
      </c>
      <c r="S203">
        <v>152.1</v>
      </c>
      <c r="T203">
        <v>145.80000000000001</v>
      </c>
      <c r="U203">
        <v>151.30000000000001</v>
      </c>
      <c r="V203" t="s">
        <v>47</v>
      </c>
      <c r="W203">
        <v>144.6</v>
      </c>
      <c r="X203">
        <v>147.69999999999999</v>
      </c>
      <c r="Y203">
        <v>143.80000000000001</v>
      </c>
      <c r="Z203">
        <v>139.4</v>
      </c>
      <c r="AA203">
        <v>128.30000000000001</v>
      </c>
      <c r="AB203">
        <v>138.6</v>
      </c>
      <c r="AC203">
        <v>146.9</v>
      </c>
      <c r="AD203">
        <v>131.30000000000001</v>
      </c>
      <c r="AE203">
        <v>136.6</v>
      </c>
      <c r="AF203">
        <v>142.5</v>
      </c>
      <c r="AG203">
        <v>1818.8</v>
      </c>
      <c r="AH203">
        <v>156.4</v>
      </c>
      <c r="AI203">
        <v>297.89999999999998</v>
      </c>
      <c r="AJ203">
        <v>704</v>
      </c>
      <c r="AK203">
        <v>139.4</v>
      </c>
      <c r="AL203">
        <v>128.30000000000001</v>
      </c>
      <c r="AM203">
        <v>138.6</v>
      </c>
      <c r="AN203">
        <v>146.9</v>
      </c>
    </row>
    <row r="204" spans="1:40" x14ac:dyDescent="0.25">
      <c r="A204" t="s">
        <v>32</v>
      </c>
      <c r="B204">
        <v>2018</v>
      </c>
      <c r="C204" t="s">
        <v>40</v>
      </c>
      <c r="D204" t="s">
        <v>172</v>
      </c>
      <c r="E204">
        <v>136.5</v>
      </c>
      <c r="F204">
        <v>146.4</v>
      </c>
      <c r="G204">
        <v>136.6</v>
      </c>
      <c r="H204">
        <v>141.19999999999999</v>
      </c>
      <c r="I204">
        <v>117.4</v>
      </c>
      <c r="J204">
        <v>146.30000000000001</v>
      </c>
      <c r="K204">
        <v>157.30000000000001</v>
      </c>
      <c r="L204">
        <v>113.6</v>
      </c>
      <c r="M204">
        <v>113.3</v>
      </c>
      <c r="N204">
        <v>141.1</v>
      </c>
      <c r="O204">
        <v>127.4</v>
      </c>
      <c r="P204">
        <v>150.4</v>
      </c>
      <c r="Q204">
        <v>140.1</v>
      </c>
      <c r="R204">
        <v>162.1</v>
      </c>
      <c r="S204">
        <v>140</v>
      </c>
      <c r="T204">
        <v>129</v>
      </c>
      <c r="U204">
        <v>138.30000000000001</v>
      </c>
      <c r="V204">
        <v>144.6</v>
      </c>
      <c r="W204">
        <v>144.6</v>
      </c>
      <c r="X204">
        <v>129.80000000000001</v>
      </c>
      <c r="Y204">
        <v>134.4</v>
      </c>
      <c r="Z204">
        <v>134.9</v>
      </c>
      <c r="AA204">
        <v>120.7</v>
      </c>
      <c r="AB204">
        <v>129.80000000000001</v>
      </c>
      <c r="AC204">
        <v>145.30000000000001</v>
      </c>
      <c r="AD204">
        <v>128.30000000000001</v>
      </c>
      <c r="AE204">
        <v>131</v>
      </c>
      <c r="AF204">
        <v>138</v>
      </c>
      <c r="AG204">
        <v>1767.6</v>
      </c>
      <c r="AH204">
        <v>162.1</v>
      </c>
      <c r="AI204">
        <v>269</v>
      </c>
      <c r="AJ204">
        <v>668.09999999999991</v>
      </c>
      <c r="AK204">
        <v>134.9</v>
      </c>
      <c r="AL204">
        <v>120.7</v>
      </c>
      <c r="AM204">
        <v>129.80000000000001</v>
      </c>
      <c r="AN204">
        <v>145.30000000000001</v>
      </c>
    </row>
    <row r="205" spans="1:40" x14ac:dyDescent="0.25">
      <c r="A205" t="s">
        <v>33</v>
      </c>
      <c r="B205">
        <v>2018</v>
      </c>
      <c r="C205" t="s">
        <v>40</v>
      </c>
      <c r="D205" t="s">
        <v>172</v>
      </c>
      <c r="E205">
        <v>138.30000000000001</v>
      </c>
      <c r="F205">
        <v>148</v>
      </c>
      <c r="G205">
        <v>138.1</v>
      </c>
      <c r="H205">
        <v>142.6</v>
      </c>
      <c r="I205">
        <v>122.2</v>
      </c>
      <c r="J205">
        <v>150.6</v>
      </c>
      <c r="K205">
        <v>156.6</v>
      </c>
      <c r="L205">
        <v>122.4</v>
      </c>
      <c r="M205">
        <v>114.7</v>
      </c>
      <c r="N205">
        <v>139.4</v>
      </c>
      <c r="O205">
        <v>131.1</v>
      </c>
      <c r="P205">
        <v>153</v>
      </c>
      <c r="Q205">
        <v>141.69999999999999</v>
      </c>
      <c r="R205">
        <v>157.9</v>
      </c>
      <c r="S205">
        <v>147.30000000000001</v>
      </c>
      <c r="T205">
        <v>138.80000000000001</v>
      </c>
      <c r="U205">
        <v>146.1</v>
      </c>
      <c r="V205">
        <v>144.6</v>
      </c>
      <c r="W205">
        <v>144.6</v>
      </c>
      <c r="X205">
        <v>140.9</v>
      </c>
      <c r="Y205">
        <v>139.4</v>
      </c>
      <c r="Z205">
        <v>137.69999999999999</v>
      </c>
      <c r="AA205">
        <v>124.3</v>
      </c>
      <c r="AB205">
        <v>133.6</v>
      </c>
      <c r="AC205">
        <v>146</v>
      </c>
      <c r="AD205">
        <v>130.1</v>
      </c>
      <c r="AE205">
        <v>133.9</v>
      </c>
      <c r="AF205">
        <v>140.4</v>
      </c>
      <c r="AG205">
        <v>1798.7000000000003</v>
      </c>
      <c r="AH205">
        <v>157.9</v>
      </c>
      <c r="AI205">
        <v>286.10000000000002</v>
      </c>
      <c r="AJ205">
        <v>688.9</v>
      </c>
      <c r="AK205">
        <v>137.69999999999999</v>
      </c>
      <c r="AL205">
        <v>124.3</v>
      </c>
      <c r="AM205">
        <v>133.6</v>
      </c>
      <c r="AN205">
        <v>146</v>
      </c>
    </row>
    <row r="206" spans="1:40" x14ac:dyDescent="0.25">
      <c r="A206" t="s">
        <v>30</v>
      </c>
      <c r="B206">
        <v>2018</v>
      </c>
      <c r="C206" t="s">
        <v>41</v>
      </c>
      <c r="D206" t="s">
        <v>182</v>
      </c>
      <c r="E206">
        <v>139.4</v>
      </c>
      <c r="F206">
        <v>147.19999999999999</v>
      </c>
      <c r="G206">
        <v>136.6</v>
      </c>
      <c r="H206">
        <v>143.69999999999999</v>
      </c>
      <c r="I206">
        <v>124.6</v>
      </c>
      <c r="J206">
        <v>150.1</v>
      </c>
      <c r="K206">
        <v>149.4</v>
      </c>
      <c r="L206">
        <v>125.4</v>
      </c>
      <c r="M206">
        <v>114.4</v>
      </c>
      <c r="N206">
        <v>138.69999999999999</v>
      </c>
      <c r="O206">
        <v>133.1</v>
      </c>
      <c r="P206">
        <v>155.9</v>
      </c>
      <c r="Q206">
        <v>141.30000000000001</v>
      </c>
      <c r="R206">
        <v>157.69999999999999</v>
      </c>
      <c r="S206">
        <v>152.1</v>
      </c>
      <c r="T206">
        <v>146.1</v>
      </c>
      <c r="U206">
        <v>151.30000000000001</v>
      </c>
      <c r="V206" t="s">
        <v>47</v>
      </c>
      <c r="W206">
        <v>145.30000000000001</v>
      </c>
      <c r="X206">
        <v>149</v>
      </c>
      <c r="Y206">
        <v>144</v>
      </c>
      <c r="Z206">
        <v>140</v>
      </c>
      <c r="AA206">
        <v>129.9</v>
      </c>
      <c r="AB206">
        <v>140</v>
      </c>
      <c r="AC206">
        <v>147.6</v>
      </c>
      <c r="AD206">
        <v>132</v>
      </c>
      <c r="AE206">
        <v>137.4</v>
      </c>
      <c r="AF206">
        <v>142.1</v>
      </c>
      <c r="AG206">
        <v>1799.8000000000002</v>
      </c>
      <c r="AH206">
        <v>157.69999999999999</v>
      </c>
      <c r="AI206">
        <v>298.2</v>
      </c>
      <c r="AJ206">
        <v>707.69999999999993</v>
      </c>
      <c r="AK206">
        <v>140</v>
      </c>
      <c r="AL206">
        <v>129.9</v>
      </c>
      <c r="AM206">
        <v>140</v>
      </c>
      <c r="AN206">
        <v>147.6</v>
      </c>
    </row>
    <row r="207" spans="1:40" x14ac:dyDescent="0.25">
      <c r="A207" t="s">
        <v>32</v>
      </c>
      <c r="B207">
        <v>2018</v>
      </c>
      <c r="C207" t="s">
        <v>41</v>
      </c>
      <c r="D207" t="s">
        <v>182</v>
      </c>
      <c r="E207">
        <v>137</v>
      </c>
      <c r="F207">
        <v>143.1</v>
      </c>
      <c r="G207">
        <v>132.80000000000001</v>
      </c>
      <c r="H207">
        <v>141.5</v>
      </c>
      <c r="I207">
        <v>117.8</v>
      </c>
      <c r="J207">
        <v>140</v>
      </c>
      <c r="K207">
        <v>151.30000000000001</v>
      </c>
      <c r="L207">
        <v>113.5</v>
      </c>
      <c r="M207">
        <v>112.3</v>
      </c>
      <c r="N207">
        <v>141.19999999999999</v>
      </c>
      <c r="O207">
        <v>127.7</v>
      </c>
      <c r="P207">
        <v>151.30000000000001</v>
      </c>
      <c r="Q207">
        <v>138.9</v>
      </c>
      <c r="R207">
        <v>163.30000000000001</v>
      </c>
      <c r="S207">
        <v>140.80000000000001</v>
      </c>
      <c r="T207">
        <v>129.30000000000001</v>
      </c>
      <c r="U207">
        <v>139.1</v>
      </c>
      <c r="V207">
        <v>145.30000000000001</v>
      </c>
      <c r="W207">
        <v>145.30000000000001</v>
      </c>
      <c r="X207">
        <v>131.19999999999999</v>
      </c>
      <c r="Y207">
        <v>134.9</v>
      </c>
      <c r="Z207">
        <v>135.69999999999999</v>
      </c>
      <c r="AA207">
        <v>122.5</v>
      </c>
      <c r="AB207">
        <v>130.19999999999999</v>
      </c>
      <c r="AC207">
        <v>145.19999999999999</v>
      </c>
      <c r="AD207">
        <v>129.30000000000001</v>
      </c>
      <c r="AE207">
        <v>131.9</v>
      </c>
      <c r="AF207">
        <v>138.1</v>
      </c>
      <c r="AG207">
        <v>1748.4</v>
      </c>
      <c r="AH207">
        <v>163.30000000000001</v>
      </c>
      <c r="AI207">
        <v>270.10000000000002</v>
      </c>
      <c r="AJ207">
        <v>672.6</v>
      </c>
      <c r="AK207">
        <v>135.69999999999999</v>
      </c>
      <c r="AL207">
        <v>122.5</v>
      </c>
      <c r="AM207">
        <v>130.19999999999999</v>
      </c>
      <c r="AN207">
        <v>145.19999999999999</v>
      </c>
    </row>
    <row r="208" spans="1:40" x14ac:dyDescent="0.25">
      <c r="A208" t="s">
        <v>33</v>
      </c>
      <c r="B208">
        <v>2018</v>
      </c>
      <c r="C208" t="s">
        <v>41</v>
      </c>
      <c r="D208" t="s">
        <v>182</v>
      </c>
      <c r="E208">
        <v>138.6</v>
      </c>
      <c r="F208">
        <v>145.80000000000001</v>
      </c>
      <c r="G208">
        <v>135.1</v>
      </c>
      <c r="H208">
        <v>142.9</v>
      </c>
      <c r="I208">
        <v>122.1</v>
      </c>
      <c r="J208">
        <v>145.4</v>
      </c>
      <c r="K208">
        <v>150</v>
      </c>
      <c r="L208">
        <v>121.4</v>
      </c>
      <c r="M208">
        <v>113.7</v>
      </c>
      <c r="N208">
        <v>139.5</v>
      </c>
      <c r="O208">
        <v>130.80000000000001</v>
      </c>
      <c r="P208">
        <v>153.80000000000001</v>
      </c>
      <c r="Q208">
        <v>140.4</v>
      </c>
      <c r="R208">
        <v>159.19999999999999</v>
      </c>
      <c r="S208">
        <v>147.69999999999999</v>
      </c>
      <c r="T208">
        <v>139.1</v>
      </c>
      <c r="U208">
        <v>146.5</v>
      </c>
      <c r="V208">
        <v>145.30000000000001</v>
      </c>
      <c r="W208">
        <v>145.30000000000001</v>
      </c>
      <c r="X208">
        <v>142.30000000000001</v>
      </c>
      <c r="Y208">
        <v>139.69999999999999</v>
      </c>
      <c r="Z208">
        <v>138.4</v>
      </c>
      <c r="AA208">
        <v>126</v>
      </c>
      <c r="AB208">
        <v>134.5</v>
      </c>
      <c r="AC208">
        <v>146.19999999999999</v>
      </c>
      <c r="AD208">
        <v>130.9</v>
      </c>
      <c r="AE208">
        <v>134.69999999999999</v>
      </c>
      <c r="AF208">
        <v>140.19999999999999</v>
      </c>
      <c r="AG208">
        <v>1779.5</v>
      </c>
      <c r="AH208">
        <v>159.19999999999999</v>
      </c>
      <c r="AI208">
        <v>286.79999999999995</v>
      </c>
      <c r="AJ208">
        <v>692.90000000000009</v>
      </c>
      <c r="AK208">
        <v>138.4</v>
      </c>
      <c r="AL208">
        <v>126</v>
      </c>
      <c r="AM208">
        <v>134.5</v>
      </c>
      <c r="AN208">
        <v>146.19999999999999</v>
      </c>
    </row>
    <row r="209" spans="1:40" x14ac:dyDescent="0.25">
      <c r="A209" t="s">
        <v>30</v>
      </c>
      <c r="B209">
        <v>2018</v>
      </c>
      <c r="C209" t="s">
        <v>42</v>
      </c>
      <c r="D209" t="s">
        <v>181</v>
      </c>
      <c r="E209">
        <v>139.30000000000001</v>
      </c>
      <c r="F209">
        <v>147.6</v>
      </c>
      <c r="G209">
        <v>134.6</v>
      </c>
      <c r="H209">
        <v>141.9</v>
      </c>
      <c r="I209">
        <v>123.5</v>
      </c>
      <c r="J209">
        <v>144.5</v>
      </c>
      <c r="K209">
        <v>147.6</v>
      </c>
      <c r="L209">
        <v>121.4</v>
      </c>
      <c r="M209">
        <v>112.3</v>
      </c>
      <c r="N209">
        <v>139.5</v>
      </c>
      <c r="O209">
        <v>134.6</v>
      </c>
      <c r="P209">
        <v>155.19999999999999</v>
      </c>
      <c r="Q209">
        <v>140.19999999999999</v>
      </c>
      <c r="R209">
        <v>159.6</v>
      </c>
      <c r="S209">
        <v>150.69999999999999</v>
      </c>
      <c r="T209">
        <v>144.5</v>
      </c>
      <c r="U209">
        <v>149.80000000000001</v>
      </c>
      <c r="V209" t="s">
        <v>47</v>
      </c>
      <c r="W209">
        <v>146.30000000000001</v>
      </c>
      <c r="X209">
        <v>149.69999999999999</v>
      </c>
      <c r="Y209">
        <v>147.5</v>
      </c>
      <c r="Z209">
        <v>144.80000000000001</v>
      </c>
      <c r="AA209">
        <v>130.80000000000001</v>
      </c>
      <c r="AB209">
        <v>140.1</v>
      </c>
      <c r="AC209">
        <v>148</v>
      </c>
      <c r="AD209">
        <v>134.4</v>
      </c>
      <c r="AE209">
        <v>139.80000000000001</v>
      </c>
      <c r="AF209">
        <v>142.19999999999999</v>
      </c>
      <c r="AG209">
        <v>1782.2</v>
      </c>
      <c r="AH209">
        <v>159.6</v>
      </c>
      <c r="AI209">
        <v>295.2</v>
      </c>
      <c r="AJ209">
        <v>717.7</v>
      </c>
      <c r="AK209">
        <v>144.80000000000001</v>
      </c>
      <c r="AL209">
        <v>130.80000000000001</v>
      </c>
      <c r="AM209">
        <v>140.1</v>
      </c>
      <c r="AN209">
        <v>148</v>
      </c>
    </row>
    <row r="210" spans="1:40" x14ac:dyDescent="0.25">
      <c r="A210" t="s">
        <v>32</v>
      </c>
      <c r="B210">
        <v>2018</v>
      </c>
      <c r="C210" t="s">
        <v>42</v>
      </c>
      <c r="D210" t="s">
        <v>181</v>
      </c>
      <c r="E210">
        <v>137.6</v>
      </c>
      <c r="F210">
        <v>144.9</v>
      </c>
      <c r="G210">
        <v>133.5</v>
      </c>
      <c r="H210">
        <v>141.5</v>
      </c>
      <c r="I210">
        <v>118</v>
      </c>
      <c r="J210">
        <v>139.5</v>
      </c>
      <c r="K210">
        <v>153</v>
      </c>
      <c r="L210">
        <v>113.2</v>
      </c>
      <c r="M210">
        <v>112.8</v>
      </c>
      <c r="N210">
        <v>141.1</v>
      </c>
      <c r="O210">
        <v>127.6</v>
      </c>
      <c r="P210">
        <v>152</v>
      </c>
      <c r="Q210">
        <v>139.4</v>
      </c>
      <c r="R210">
        <v>164</v>
      </c>
      <c r="S210">
        <v>141.5</v>
      </c>
      <c r="T210">
        <v>129.80000000000001</v>
      </c>
      <c r="U210">
        <v>139.69999999999999</v>
      </c>
      <c r="V210">
        <v>146.30000000000001</v>
      </c>
      <c r="W210">
        <v>146.30000000000001</v>
      </c>
      <c r="X210">
        <v>133.4</v>
      </c>
      <c r="Y210">
        <v>135.1</v>
      </c>
      <c r="Z210">
        <v>136.19999999999999</v>
      </c>
      <c r="AA210">
        <v>123.3</v>
      </c>
      <c r="AB210">
        <v>130.69999999999999</v>
      </c>
      <c r="AC210">
        <v>145.5</v>
      </c>
      <c r="AD210">
        <v>130.4</v>
      </c>
      <c r="AE210">
        <v>132.5</v>
      </c>
      <c r="AF210">
        <v>138.9</v>
      </c>
      <c r="AG210">
        <v>1754.1</v>
      </c>
      <c r="AH210">
        <v>164</v>
      </c>
      <c r="AI210">
        <v>271.3</v>
      </c>
      <c r="AJ210">
        <v>677.7</v>
      </c>
      <c r="AK210">
        <v>136.19999999999999</v>
      </c>
      <c r="AL210">
        <v>123.3</v>
      </c>
      <c r="AM210">
        <v>130.69999999999999</v>
      </c>
      <c r="AN210">
        <v>145.5</v>
      </c>
    </row>
    <row r="211" spans="1:40" x14ac:dyDescent="0.25">
      <c r="A211" t="s">
        <v>33</v>
      </c>
      <c r="B211">
        <v>2018</v>
      </c>
      <c r="C211" t="s">
        <v>42</v>
      </c>
      <c r="D211" t="s">
        <v>181</v>
      </c>
      <c r="E211">
        <v>137.4</v>
      </c>
      <c r="F211">
        <v>149.5</v>
      </c>
      <c r="G211">
        <v>137.30000000000001</v>
      </c>
      <c r="H211">
        <v>141.9</v>
      </c>
      <c r="I211">
        <v>121.1</v>
      </c>
      <c r="J211">
        <v>142.5</v>
      </c>
      <c r="K211">
        <v>146.69999999999999</v>
      </c>
      <c r="L211">
        <v>119.1</v>
      </c>
      <c r="M211">
        <v>111.9</v>
      </c>
      <c r="N211">
        <v>141</v>
      </c>
      <c r="O211">
        <v>133.6</v>
      </c>
      <c r="P211">
        <v>154.5</v>
      </c>
      <c r="Q211">
        <v>139.69999999999999</v>
      </c>
      <c r="R211">
        <v>162.6</v>
      </c>
      <c r="S211">
        <v>148</v>
      </c>
      <c r="T211">
        <v>139.19999999999999</v>
      </c>
      <c r="U211">
        <v>146.80000000000001</v>
      </c>
      <c r="V211">
        <v>146.9</v>
      </c>
      <c r="W211">
        <v>146.9</v>
      </c>
      <c r="X211">
        <v>145.30000000000001</v>
      </c>
      <c r="Y211">
        <v>142.19999999999999</v>
      </c>
      <c r="Z211">
        <v>142.1</v>
      </c>
      <c r="AA211">
        <v>125.5</v>
      </c>
      <c r="AB211">
        <v>136.5</v>
      </c>
      <c r="AC211">
        <v>147.80000000000001</v>
      </c>
      <c r="AD211">
        <v>132</v>
      </c>
      <c r="AE211">
        <v>136.30000000000001</v>
      </c>
      <c r="AF211">
        <v>140.80000000000001</v>
      </c>
      <c r="AG211">
        <v>1776.2</v>
      </c>
      <c r="AH211">
        <v>162.6</v>
      </c>
      <c r="AI211">
        <v>287.2</v>
      </c>
      <c r="AJ211">
        <v>702.7</v>
      </c>
      <c r="AK211">
        <v>142.1</v>
      </c>
      <c r="AL211">
        <v>125.5</v>
      </c>
      <c r="AM211">
        <v>136.5</v>
      </c>
      <c r="AN211">
        <v>147.80000000000001</v>
      </c>
    </row>
    <row r="212" spans="1:40" x14ac:dyDescent="0.25">
      <c r="A212" t="s">
        <v>30</v>
      </c>
      <c r="B212">
        <v>2018</v>
      </c>
      <c r="C212" t="s">
        <v>44</v>
      </c>
      <c r="D212" t="s">
        <v>180</v>
      </c>
      <c r="E212">
        <v>137.1</v>
      </c>
      <c r="F212">
        <v>150.80000000000001</v>
      </c>
      <c r="G212">
        <v>136.69999999999999</v>
      </c>
      <c r="H212">
        <v>141.9</v>
      </c>
      <c r="I212">
        <v>122.8</v>
      </c>
      <c r="J212">
        <v>143.9</v>
      </c>
      <c r="K212">
        <v>147.5</v>
      </c>
      <c r="L212">
        <v>121</v>
      </c>
      <c r="M212">
        <v>111.6</v>
      </c>
      <c r="N212">
        <v>140.6</v>
      </c>
      <c r="O212">
        <v>137.5</v>
      </c>
      <c r="P212">
        <v>156.1</v>
      </c>
      <c r="Q212">
        <v>140</v>
      </c>
      <c r="R212">
        <v>161.9</v>
      </c>
      <c r="S212">
        <v>151.69999999999999</v>
      </c>
      <c r="T212">
        <v>145.5</v>
      </c>
      <c r="U212">
        <v>150.80000000000001</v>
      </c>
      <c r="V212" t="s">
        <v>47</v>
      </c>
      <c r="W212">
        <v>146.9</v>
      </c>
      <c r="X212">
        <v>150.30000000000001</v>
      </c>
      <c r="Y212">
        <v>148</v>
      </c>
      <c r="Z212">
        <v>145.4</v>
      </c>
      <c r="AA212">
        <v>130.30000000000001</v>
      </c>
      <c r="AB212">
        <v>143.1</v>
      </c>
      <c r="AC212">
        <v>150.19999999999999</v>
      </c>
      <c r="AD212">
        <v>133.1</v>
      </c>
      <c r="AE212">
        <v>140.1</v>
      </c>
      <c r="AF212">
        <v>142.4</v>
      </c>
      <c r="AG212">
        <v>1787.4999999999995</v>
      </c>
      <c r="AH212">
        <v>161.9</v>
      </c>
      <c r="AI212">
        <v>297.2</v>
      </c>
      <c r="AJ212">
        <v>718.40000000000009</v>
      </c>
      <c r="AK212">
        <v>145.4</v>
      </c>
      <c r="AL212">
        <v>130.30000000000001</v>
      </c>
      <c r="AM212">
        <v>143.1</v>
      </c>
      <c r="AN212">
        <v>150.19999999999999</v>
      </c>
    </row>
    <row r="213" spans="1:40" x14ac:dyDescent="0.25">
      <c r="A213" t="s">
        <v>32</v>
      </c>
      <c r="B213">
        <v>2018</v>
      </c>
      <c r="C213" t="s">
        <v>44</v>
      </c>
      <c r="D213" t="s">
        <v>180</v>
      </c>
      <c r="E213">
        <v>138.1</v>
      </c>
      <c r="F213">
        <v>146.30000000000001</v>
      </c>
      <c r="G213">
        <v>137.80000000000001</v>
      </c>
      <c r="H213">
        <v>141.6</v>
      </c>
      <c r="I213">
        <v>118.1</v>
      </c>
      <c r="J213">
        <v>141.5</v>
      </c>
      <c r="K213">
        <v>145.19999999999999</v>
      </c>
      <c r="L213">
        <v>115.3</v>
      </c>
      <c r="M213">
        <v>112.5</v>
      </c>
      <c r="N213">
        <v>141.4</v>
      </c>
      <c r="O213">
        <v>128</v>
      </c>
      <c r="P213">
        <v>152.6</v>
      </c>
      <c r="Q213">
        <v>139.1</v>
      </c>
      <c r="R213">
        <v>164.4</v>
      </c>
      <c r="S213">
        <v>142.4</v>
      </c>
      <c r="T213">
        <v>130.19999999999999</v>
      </c>
      <c r="U213">
        <v>140.5</v>
      </c>
      <c r="V213">
        <v>146.9</v>
      </c>
      <c r="W213">
        <v>146.9</v>
      </c>
      <c r="X213">
        <v>136.69999999999999</v>
      </c>
      <c r="Y213">
        <v>135.80000000000001</v>
      </c>
      <c r="Z213">
        <v>136.80000000000001</v>
      </c>
      <c r="AA213">
        <v>121.2</v>
      </c>
      <c r="AB213">
        <v>131.30000000000001</v>
      </c>
      <c r="AC213">
        <v>146.1</v>
      </c>
      <c r="AD213">
        <v>130.5</v>
      </c>
      <c r="AE213">
        <v>132.19999999999999</v>
      </c>
      <c r="AF213">
        <v>139</v>
      </c>
      <c r="AG213">
        <v>1757.4999999999998</v>
      </c>
      <c r="AH213">
        <v>164.4</v>
      </c>
      <c r="AI213">
        <v>272.60000000000002</v>
      </c>
      <c r="AJ213">
        <v>682.10000000000014</v>
      </c>
      <c r="AK213">
        <v>136.80000000000001</v>
      </c>
      <c r="AL213">
        <v>121.2</v>
      </c>
      <c r="AM213">
        <v>131.30000000000001</v>
      </c>
      <c r="AN213">
        <v>146.1</v>
      </c>
    </row>
    <row r="214" spans="1:40" x14ac:dyDescent="0.25">
      <c r="A214" t="s">
        <v>33</v>
      </c>
      <c r="B214">
        <v>2018</v>
      </c>
      <c r="C214" t="s">
        <v>44</v>
      </c>
      <c r="D214" t="s">
        <v>180</v>
      </c>
      <c r="E214">
        <v>137.4</v>
      </c>
      <c r="F214">
        <v>149.19999999999999</v>
      </c>
      <c r="G214">
        <v>137.1</v>
      </c>
      <c r="H214">
        <v>141.80000000000001</v>
      </c>
      <c r="I214">
        <v>121.1</v>
      </c>
      <c r="J214">
        <v>142.80000000000001</v>
      </c>
      <c r="K214">
        <v>146.69999999999999</v>
      </c>
      <c r="L214">
        <v>119.1</v>
      </c>
      <c r="M214">
        <v>111.9</v>
      </c>
      <c r="N214">
        <v>140.9</v>
      </c>
      <c r="O214">
        <v>133.5</v>
      </c>
      <c r="P214">
        <v>154.5</v>
      </c>
      <c r="Q214">
        <v>139.69999999999999</v>
      </c>
      <c r="R214">
        <v>162.6</v>
      </c>
      <c r="S214">
        <v>148</v>
      </c>
      <c r="T214">
        <v>139.1</v>
      </c>
      <c r="U214">
        <v>146.69999999999999</v>
      </c>
      <c r="V214">
        <v>146.9</v>
      </c>
      <c r="W214">
        <v>146.9</v>
      </c>
      <c r="X214">
        <v>145.1</v>
      </c>
      <c r="Y214">
        <v>142.19999999999999</v>
      </c>
      <c r="Z214">
        <v>142.1</v>
      </c>
      <c r="AA214">
        <v>125.5</v>
      </c>
      <c r="AB214">
        <v>136.5</v>
      </c>
      <c r="AC214">
        <v>147.80000000000001</v>
      </c>
      <c r="AD214">
        <v>132</v>
      </c>
      <c r="AE214">
        <v>136.30000000000001</v>
      </c>
      <c r="AF214">
        <v>140.80000000000001</v>
      </c>
      <c r="AG214">
        <v>1775.7000000000003</v>
      </c>
      <c r="AH214">
        <v>162.6</v>
      </c>
      <c r="AI214">
        <v>287.10000000000002</v>
      </c>
      <c r="AJ214">
        <v>702.5</v>
      </c>
      <c r="AK214">
        <v>142.1</v>
      </c>
      <c r="AL214">
        <v>125.5</v>
      </c>
      <c r="AM214">
        <v>136.5</v>
      </c>
      <c r="AN214">
        <v>147.80000000000001</v>
      </c>
    </row>
    <row r="215" spans="1:40" x14ac:dyDescent="0.25">
      <c r="A215" t="s">
        <v>30</v>
      </c>
      <c r="B215">
        <v>2018</v>
      </c>
      <c r="C215" t="s">
        <v>45</v>
      </c>
      <c r="D215" t="s">
        <v>173</v>
      </c>
      <c r="E215">
        <v>137.1</v>
      </c>
      <c r="F215">
        <v>151.9</v>
      </c>
      <c r="G215">
        <v>137.4</v>
      </c>
      <c r="H215">
        <v>142.4</v>
      </c>
      <c r="I215">
        <v>124.2</v>
      </c>
      <c r="J215">
        <v>140.19999999999999</v>
      </c>
      <c r="K215">
        <v>136.6</v>
      </c>
      <c r="L215">
        <v>120.9</v>
      </c>
      <c r="M215">
        <v>109.9</v>
      </c>
      <c r="N215">
        <v>140.19999999999999</v>
      </c>
      <c r="O215">
        <v>137.80000000000001</v>
      </c>
      <c r="P215">
        <v>156</v>
      </c>
      <c r="Q215">
        <v>138.5</v>
      </c>
      <c r="R215">
        <v>162.4</v>
      </c>
      <c r="S215">
        <v>151.6</v>
      </c>
      <c r="T215">
        <v>145.9</v>
      </c>
      <c r="U215">
        <v>150.80000000000001</v>
      </c>
      <c r="V215" t="s">
        <v>47</v>
      </c>
      <c r="W215">
        <v>146.5</v>
      </c>
      <c r="X215">
        <v>149</v>
      </c>
      <c r="Y215">
        <v>149.5</v>
      </c>
      <c r="Z215">
        <v>149.6</v>
      </c>
      <c r="AA215">
        <v>128.9</v>
      </c>
      <c r="AB215">
        <v>143.30000000000001</v>
      </c>
      <c r="AC215">
        <v>155.1</v>
      </c>
      <c r="AD215">
        <v>133.19999999999999</v>
      </c>
      <c r="AE215">
        <v>141.6</v>
      </c>
      <c r="AF215">
        <v>141.9</v>
      </c>
      <c r="AG215">
        <v>1773.1000000000001</v>
      </c>
      <c r="AH215">
        <v>162.4</v>
      </c>
      <c r="AI215">
        <v>297.5</v>
      </c>
      <c r="AJ215">
        <v>719.80000000000007</v>
      </c>
      <c r="AK215">
        <v>149.6</v>
      </c>
      <c r="AL215">
        <v>128.9</v>
      </c>
      <c r="AM215">
        <v>143.30000000000001</v>
      </c>
      <c r="AN215">
        <v>155.1</v>
      </c>
    </row>
    <row r="216" spans="1:40" x14ac:dyDescent="0.25">
      <c r="A216" t="s">
        <v>32</v>
      </c>
      <c r="B216">
        <v>2018</v>
      </c>
      <c r="C216" t="s">
        <v>45</v>
      </c>
      <c r="D216" t="s">
        <v>173</v>
      </c>
      <c r="E216">
        <v>138.5</v>
      </c>
      <c r="F216">
        <v>147.80000000000001</v>
      </c>
      <c r="G216">
        <v>141.1</v>
      </c>
      <c r="H216">
        <v>141.6</v>
      </c>
      <c r="I216">
        <v>118.1</v>
      </c>
      <c r="J216">
        <v>138.5</v>
      </c>
      <c r="K216">
        <v>132.4</v>
      </c>
      <c r="L216">
        <v>117.5</v>
      </c>
      <c r="M216">
        <v>111</v>
      </c>
      <c r="N216">
        <v>141.5</v>
      </c>
      <c r="O216">
        <v>128.1</v>
      </c>
      <c r="P216">
        <v>152.9</v>
      </c>
      <c r="Q216">
        <v>137.6</v>
      </c>
      <c r="R216">
        <v>164.6</v>
      </c>
      <c r="S216">
        <v>142.69999999999999</v>
      </c>
      <c r="T216">
        <v>130.30000000000001</v>
      </c>
      <c r="U216">
        <v>140.80000000000001</v>
      </c>
      <c r="V216">
        <v>146.5</v>
      </c>
      <c r="W216">
        <v>146.5</v>
      </c>
      <c r="X216">
        <v>132.4</v>
      </c>
      <c r="Y216">
        <v>136.19999999999999</v>
      </c>
      <c r="Z216">
        <v>137.30000000000001</v>
      </c>
      <c r="AA216">
        <v>118.8</v>
      </c>
      <c r="AB216">
        <v>131.69999999999999</v>
      </c>
      <c r="AC216">
        <v>146.5</v>
      </c>
      <c r="AD216">
        <v>130.80000000000001</v>
      </c>
      <c r="AE216">
        <v>131.69999999999999</v>
      </c>
      <c r="AF216">
        <v>138</v>
      </c>
      <c r="AG216">
        <v>1746.6</v>
      </c>
      <c r="AH216">
        <v>164.6</v>
      </c>
      <c r="AI216">
        <v>273</v>
      </c>
      <c r="AJ216">
        <v>677.59999999999991</v>
      </c>
      <c r="AK216">
        <v>137.30000000000001</v>
      </c>
      <c r="AL216">
        <v>118.8</v>
      </c>
      <c r="AM216">
        <v>131.69999999999999</v>
      </c>
      <c r="AN216">
        <v>146.5</v>
      </c>
    </row>
    <row r="217" spans="1:40" x14ac:dyDescent="0.25">
      <c r="A217" t="s">
        <v>33</v>
      </c>
      <c r="B217">
        <v>2018</v>
      </c>
      <c r="C217" t="s">
        <v>45</v>
      </c>
      <c r="D217" t="s">
        <v>173</v>
      </c>
      <c r="E217">
        <v>137.5</v>
      </c>
      <c r="F217">
        <v>150.5</v>
      </c>
      <c r="G217">
        <v>138.80000000000001</v>
      </c>
      <c r="H217">
        <v>142.1</v>
      </c>
      <c r="I217">
        <v>122</v>
      </c>
      <c r="J217">
        <v>139.4</v>
      </c>
      <c r="K217">
        <v>135.19999999999999</v>
      </c>
      <c r="L217">
        <v>119.8</v>
      </c>
      <c r="M217">
        <v>110.3</v>
      </c>
      <c r="N217">
        <v>140.6</v>
      </c>
      <c r="O217">
        <v>133.80000000000001</v>
      </c>
      <c r="P217">
        <v>154.6</v>
      </c>
      <c r="Q217">
        <v>138.19999999999999</v>
      </c>
      <c r="R217">
        <v>163</v>
      </c>
      <c r="S217">
        <v>148.1</v>
      </c>
      <c r="T217">
        <v>139.4</v>
      </c>
      <c r="U217">
        <v>146.80000000000001</v>
      </c>
      <c r="V217">
        <v>146.5</v>
      </c>
      <c r="W217">
        <v>146.5</v>
      </c>
      <c r="X217">
        <v>142.69999999999999</v>
      </c>
      <c r="Y217">
        <v>143.19999999999999</v>
      </c>
      <c r="Z217">
        <v>144.9</v>
      </c>
      <c r="AA217">
        <v>123.6</v>
      </c>
      <c r="AB217">
        <v>136.80000000000001</v>
      </c>
      <c r="AC217">
        <v>150.1</v>
      </c>
      <c r="AD217">
        <v>132.19999999999999</v>
      </c>
      <c r="AE217">
        <v>136.80000000000001</v>
      </c>
      <c r="AF217">
        <v>140.1</v>
      </c>
      <c r="AG217">
        <v>1762.7999999999997</v>
      </c>
      <c r="AH217">
        <v>163</v>
      </c>
      <c r="AI217">
        <v>287.5</v>
      </c>
      <c r="AJ217">
        <v>701.39999999999986</v>
      </c>
      <c r="AK217">
        <v>144.9</v>
      </c>
      <c r="AL217">
        <v>123.6</v>
      </c>
      <c r="AM217">
        <v>136.80000000000001</v>
      </c>
      <c r="AN217">
        <v>150.1</v>
      </c>
    </row>
    <row r="218" spans="1:40" x14ac:dyDescent="0.25">
      <c r="A218" t="s">
        <v>30</v>
      </c>
      <c r="B218">
        <v>2019</v>
      </c>
      <c r="C218" t="s">
        <v>31</v>
      </c>
      <c r="D218" t="s">
        <v>186</v>
      </c>
      <c r="E218">
        <v>136.6</v>
      </c>
      <c r="F218">
        <v>152.5</v>
      </c>
      <c r="G218">
        <v>138.19999999999999</v>
      </c>
      <c r="H218">
        <v>142.4</v>
      </c>
      <c r="I218">
        <v>123.9</v>
      </c>
      <c r="J218">
        <v>135.5</v>
      </c>
      <c r="K218">
        <v>131.69999999999999</v>
      </c>
      <c r="L218">
        <v>121.3</v>
      </c>
      <c r="M218">
        <v>108.4</v>
      </c>
      <c r="N218">
        <v>138.9</v>
      </c>
      <c r="O218">
        <v>137</v>
      </c>
      <c r="P218">
        <v>155.80000000000001</v>
      </c>
      <c r="Q218">
        <v>137.4</v>
      </c>
      <c r="R218">
        <v>162.69999999999999</v>
      </c>
      <c r="S218">
        <v>150.6</v>
      </c>
      <c r="T218">
        <v>145.1</v>
      </c>
      <c r="U218">
        <v>149.9</v>
      </c>
      <c r="V218" t="s">
        <v>47</v>
      </c>
      <c r="W218">
        <v>147.69999999999999</v>
      </c>
      <c r="X218">
        <v>146.19999999999999</v>
      </c>
      <c r="Y218">
        <v>150.1</v>
      </c>
      <c r="Z218">
        <v>149.6</v>
      </c>
      <c r="AA218">
        <v>128.6</v>
      </c>
      <c r="AB218">
        <v>142.9</v>
      </c>
      <c r="AC218">
        <v>155.19999999999999</v>
      </c>
      <c r="AD218">
        <v>133.5</v>
      </c>
      <c r="AE218">
        <v>141.69999999999999</v>
      </c>
      <c r="AF218">
        <v>141</v>
      </c>
      <c r="AG218">
        <v>1759.6000000000001</v>
      </c>
      <c r="AH218">
        <v>162.69999999999999</v>
      </c>
      <c r="AI218">
        <v>295.7</v>
      </c>
      <c r="AJ218">
        <v>719.2</v>
      </c>
      <c r="AK218">
        <v>149.6</v>
      </c>
      <c r="AL218">
        <v>128.6</v>
      </c>
      <c r="AM218">
        <v>142.9</v>
      </c>
      <c r="AN218">
        <v>155.19999999999999</v>
      </c>
    </row>
    <row r="219" spans="1:40" x14ac:dyDescent="0.25">
      <c r="A219" t="s">
        <v>32</v>
      </c>
      <c r="B219">
        <v>2019</v>
      </c>
      <c r="C219" t="s">
        <v>31</v>
      </c>
      <c r="D219" t="s">
        <v>186</v>
      </c>
      <c r="E219">
        <v>138.30000000000001</v>
      </c>
      <c r="F219">
        <v>149.4</v>
      </c>
      <c r="G219">
        <v>143.5</v>
      </c>
      <c r="H219">
        <v>141.69999999999999</v>
      </c>
      <c r="I219">
        <v>118.1</v>
      </c>
      <c r="J219">
        <v>135.19999999999999</v>
      </c>
      <c r="K219">
        <v>130.5</v>
      </c>
      <c r="L219">
        <v>118.2</v>
      </c>
      <c r="M219">
        <v>110.4</v>
      </c>
      <c r="N219">
        <v>140.4</v>
      </c>
      <c r="O219">
        <v>128.1</v>
      </c>
      <c r="P219">
        <v>153.19999999999999</v>
      </c>
      <c r="Q219">
        <v>137.30000000000001</v>
      </c>
      <c r="R219">
        <v>164.7</v>
      </c>
      <c r="S219">
        <v>143</v>
      </c>
      <c r="T219">
        <v>130.4</v>
      </c>
      <c r="U219">
        <v>141.1</v>
      </c>
      <c r="V219">
        <v>147.69999999999999</v>
      </c>
      <c r="W219">
        <v>147.69999999999999</v>
      </c>
      <c r="X219">
        <v>128.6</v>
      </c>
      <c r="Y219">
        <v>136.30000000000001</v>
      </c>
      <c r="Z219">
        <v>137.80000000000001</v>
      </c>
      <c r="AA219">
        <v>118.6</v>
      </c>
      <c r="AB219">
        <v>131.9</v>
      </c>
      <c r="AC219">
        <v>146.6</v>
      </c>
      <c r="AD219">
        <v>131.69999999999999</v>
      </c>
      <c r="AE219">
        <v>131.80000000000001</v>
      </c>
      <c r="AF219">
        <v>138</v>
      </c>
      <c r="AG219">
        <v>1744.3000000000002</v>
      </c>
      <c r="AH219">
        <v>164.7</v>
      </c>
      <c r="AI219">
        <v>273.39999999999998</v>
      </c>
      <c r="AJ219">
        <v>676.09999999999991</v>
      </c>
      <c r="AK219">
        <v>137.80000000000001</v>
      </c>
      <c r="AL219">
        <v>118.6</v>
      </c>
      <c r="AM219">
        <v>131.9</v>
      </c>
      <c r="AN219">
        <v>146.6</v>
      </c>
    </row>
    <row r="220" spans="1:40" x14ac:dyDescent="0.25">
      <c r="A220" t="s">
        <v>33</v>
      </c>
      <c r="B220">
        <v>2019</v>
      </c>
      <c r="C220" t="s">
        <v>31</v>
      </c>
      <c r="D220" t="s">
        <v>186</v>
      </c>
      <c r="E220">
        <v>137.1</v>
      </c>
      <c r="F220">
        <v>151.4</v>
      </c>
      <c r="G220">
        <v>140.19999999999999</v>
      </c>
      <c r="H220">
        <v>142.1</v>
      </c>
      <c r="I220">
        <v>121.8</v>
      </c>
      <c r="J220">
        <v>135.4</v>
      </c>
      <c r="K220">
        <v>131.30000000000001</v>
      </c>
      <c r="L220">
        <v>120.3</v>
      </c>
      <c r="M220">
        <v>109.1</v>
      </c>
      <c r="N220">
        <v>139.4</v>
      </c>
      <c r="O220">
        <v>133.30000000000001</v>
      </c>
      <c r="P220">
        <v>154.6</v>
      </c>
      <c r="Q220">
        <v>137.4</v>
      </c>
      <c r="R220">
        <v>163.19999999999999</v>
      </c>
      <c r="S220">
        <v>147.6</v>
      </c>
      <c r="T220">
        <v>139</v>
      </c>
      <c r="U220">
        <v>146.4</v>
      </c>
      <c r="V220">
        <v>147.69999999999999</v>
      </c>
      <c r="W220">
        <v>147.69999999999999</v>
      </c>
      <c r="X220">
        <v>139.5</v>
      </c>
      <c r="Y220">
        <v>143.6</v>
      </c>
      <c r="Z220">
        <v>145.1</v>
      </c>
      <c r="AA220">
        <v>123.3</v>
      </c>
      <c r="AB220">
        <v>136.69999999999999</v>
      </c>
      <c r="AC220">
        <v>150.19999999999999</v>
      </c>
      <c r="AD220">
        <v>132.80000000000001</v>
      </c>
      <c r="AE220">
        <v>136.9</v>
      </c>
      <c r="AF220">
        <v>139.6</v>
      </c>
      <c r="AG220">
        <v>1753.3999999999999</v>
      </c>
      <c r="AH220">
        <v>163.19999999999999</v>
      </c>
      <c r="AI220">
        <v>286.60000000000002</v>
      </c>
      <c r="AJ220">
        <v>700.49999999999989</v>
      </c>
      <c r="AK220">
        <v>145.1</v>
      </c>
      <c r="AL220">
        <v>123.3</v>
      </c>
      <c r="AM220">
        <v>136.69999999999999</v>
      </c>
      <c r="AN220">
        <v>150.19999999999999</v>
      </c>
    </row>
    <row r="221" spans="1:40" x14ac:dyDescent="0.25">
      <c r="A221" t="s">
        <v>30</v>
      </c>
      <c r="B221">
        <v>2019</v>
      </c>
      <c r="C221" t="s">
        <v>34</v>
      </c>
      <c r="D221" t="s">
        <v>185</v>
      </c>
      <c r="E221">
        <v>136.80000000000001</v>
      </c>
      <c r="F221">
        <v>153</v>
      </c>
      <c r="G221">
        <v>139.1</v>
      </c>
      <c r="H221">
        <v>142.5</v>
      </c>
      <c r="I221">
        <v>124.1</v>
      </c>
      <c r="J221">
        <v>135.80000000000001</v>
      </c>
      <c r="K221">
        <v>128.69999999999999</v>
      </c>
      <c r="L221">
        <v>121.5</v>
      </c>
      <c r="M221">
        <v>108.3</v>
      </c>
      <c r="N221">
        <v>139.19999999999999</v>
      </c>
      <c r="O221">
        <v>137.4</v>
      </c>
      <c r="P221">
        <v>156.19999999999999</v>
      </c>
      <c r="Q221">
        <v>137.19999999999999</v>
      </c>
      <c r="R221">
        <v>162.80000000000001</v>
      </c>
      <c r="S221">
        <v>150.5</v>
      </c>
      <c r="T221">
        <v>146.1</v>
      </c>
      <c r="U221">
        <v>149.9</v>
      </c>
      <c r="V221" t="s">
        <v>47</v>
      </c>
      <c r="W221">
        <v>148.5</v>
      </c>
      <c r="X221">
        <v>145.30000000000001</v>
      </c>
      <c r="Y221">
        <v>150.1</v>
      </c>
      <c r="Z221">
        <v>149.9</v>
      </c>
      <c r="AA221">
        <v>129.19999999999999</v>
      </c>
      <c r="AB221">
        <v>143.4</v>
      </c>
      <c r="AC221">
        <v>155.5</v>
      </c>
      <c r="AD221">
        <v>134.9</v>
      </c>
      <c r="AE221">
        <v>142.19999999999999</v>
      </c>
      <c r="AF221">
        <v>141</v>
      </c>
      <c r="AG221">
        <v>1759.8000000000002</v>
      </c>
      <c r="AH221">
        <v>162.80000000000001</v>
      </c>
      <c r="AI221">
        <v>296.60000000000002</v>
      </c>
      <c r="AJ221">
        <v>721</v>
      </c>
      <c r="AK221">
        <v>149.9</v>
      </c>
      <c r="AL221">
        <v>129.19999999999999</v>
      </c>
      <c r="AM221">
        <v>143.4</v>
      </c>
      <c r="AN221">
        <v>155.5</v>
      </c>
    </row>
    <row r="222" spans="1:40" x14ac:dyDescent="0.25">
      <c r="A222" t="s">
        <v>32</v>
      </c>
      <c r="B222">
        <v>2019</v>
      </c>
      <c r="C222" t="s">
        <v>34</v>
      </c>
      <c r="D222" t="s">
        <v>185</v>
      </c>
      <c r="E222">
        <v>139.4</v>
      </c>
      <c r="F222">
        <v>150.1</v>
      </c>
      <c r="G222">
        <v>145.30000000000001</v>
      </c>
      <c r="H222">
        <v>141.69999999999999</v>
      </c>
      <c r="I222">
        <v>118.4</v>
      </c>
      <c r="J222">
        <v>137</v>
      </c>
      <c r="K222">
        <v>131.6</v>
      </c>
      <c r="L222">
        <v>119.9</v>
      </c>
      <c r="M222">
        <v>110.4</v>
      </c>
      <c r="N222">
        <v>140.80000000000001</v>
      </c>
      <c r="O222">
        <v>128.30000000000001</v>
      </c>
      <c r="P222">
        <v>153.5</v>
      </c>
      <c r="Q222">
        <v>138</v>
      </c>
      <c r="R222">
        <v>164.9</v>
      </c>
      <c r="S222">
        <v>143.30000000000001</v>
      </c>
      <c r="T222">
        <v>130.80000000000001</v>
      </c>
      <c r="U222">
        <v>141.4</v>
      </c>
      <c r="V222">
        <v>148.5</v>
      </c>
      <c r="W222">
        <v>148.5</v>
      </c>
      <c r="X222">
        <v>127.1</v>
      </c>
      <c r="Y222">
        <v>136.6</v>
      </c>
      <c r="Z222">
        <v>138.5</v>
      </c>
      <c r="AA222">
        <v>119.2</v>
      </c>
      <c r="AB222">
        <v>132.19999999999999</v>
      </c>
      <c r="AC222">
        <v>146.6</v>
      </c>
      <c r="AD222">
        <v>133</v>
      </c>
      <c r="AE222">
        <v>132.4</v>
      </c>
      <c r="AF222">
        <v>138.6</v>
      </c>
      <c r="AG222">
        <v>1754.4</v>
      </c>
      <c r="AH222">
        <v>164.9</v>
      </c>
      <c r="AI222">
        <v>274.10000000000002</v>
      </c>
      <c r="AJ222">
        <v>677.6</v>
      </c>
      <c r="AK222">
        <v>138.5</v>
      </c>
      <c r="AL222">
        <v>119.2</v>
      </c>
      <c r="AM222">
        <v>132.19999999999999</v>
      </c>
      <c r="AN222">
        <v>146.6</v>
      </c>
    </row>
    <row r="223" spans="1:40" x14ac:dyDescent="0.25">
      <c r="A223" t="s">
        <v>33</v>
      </c>
      <c r="B223">
        <v>2019</v>
      </c>
      <c r="C223" t="s">
        <v>34</v>
      </c>
      <c r="D223" t="s">
        <v>185</v>
      </c>
      <c r="E223">
        <v>137.6</v>
      </c>
      <c r="F223">
        <v>152</v>
      </c>
      <c r="G223">
        <v>141.5</v>
      </c>
      <c r="H223">
        <v>142.19999999999999</v>
      </c>
      <c r="I223">
        <v>122</v>
      </c>
      <c r="J223">
        <v>136.4</v>
      </c>
      <c r="K223">
        <v>129.69999999999999</v>
      </c>
      <c r="L223">
        <v>121</v>
      </c>
      <c r="M223">
        <v>109</v>
      </c>
      <c r="N223">
        <v>139.69999999999999</v>
      </c>
      <c r="O223">
        <v>133.6</v>
      </c>
      <c r="P223">
        <v>154.9</v>
      </c>
      <c r="Q223">
        <v>137.5</v>
      </c>
      <c r="R223">
        <v>163.4</v>
      </c>
      <c r="S223">
        <v>147.69999999999999</v>
      </c>
      <c r="T223">
        <v>139.69999999999999</v>
      </c>
      <c r="U223">
        <v>146.5</v>
      </c>
      <c r="V223">
        <v>148.5</v>
      </c>
      <c r="W223">
        <v>148.5</v>
      </c>
      <c r="X223">
        <v>138.4</v>
      </c>
      <c r="Y223">
        <v>143.69999999999999</v>
      </c>
      <c r="Z223">
        <v>145.6</v>
      </c>
      <c r="AA223">
        <v>123.9</v>
      </c>
      <c r="AB223">
        <v>137.1</v>
      </c>
      <c r="AC223">
        <v>150.30000000000001</v>
      </c>
      <c r="AD223">
        <v>134.1</v>
      </c>
      <c r="AE223">
        <v>137.4</v>
      </c>
      <c r="AF223">
        <v>139.9</v>
      </c>
      <c r="AG223">
        <v>1757.1</v>
      </c>
      <c r="AH223">
        <v>163.4</v>
      </c>
      <c r="AI223">
        <v>287.39999999999998</v>
      </c>
      <c r="AJ223">
        <v>702.09999999999991</v>
      </c>
      <c r="AK223">
        <v>145.6</v>
      </c>
      <c r="AL223">
        <v>123.9</v>
      </c>
      <c r="AM223">
        <v>137.1</v>
      </c>
      <c r="AN223">
        <v>150.30000000000001</v>
      </c>
    </row>
    <row r="224" spans="1:40" x14ac:dyDescent="0.25">
      <c r="A224" t="s">
        <v>30</v>
      </c>
      <c r="B224">
        <v>2019</v>
      </c>
      <c r="C224" t="s">
        <v>35</v>
      </c>
      <c r="D224" t="s">
        <v>189</v>
      </c>
      <c r="E224">
        <v>136.9</v>
      </c>
      <c r="F224">
        <v>154.1</v>
      </c>
      <c r="G224">
        <v>138.69999999999999</v>
      </c>
      <c r="H224">
        <v>142.5</v>
      </c>
      <c r="I224">
        <v>124.1</v>
      </c>
      <c r="J224">
        <v>136.1</v>
      </c>
      <c r="K224">
        <v>128.19999999999999</v>
      </c>
      <c r="L224">
        <v>122.3</v>
      </c>
      <c r="M224">
        <v>108.3</v>
      </c>
      <c r="N224">
        <v>138.9</v>
      </c>
      <c r="O224">
        <v>137.4</v>
      </c>
      <c r="P224">
        <v>156.4</v>
      </c>
      <c r="Q224">
        <v>137.30000000000001</v>
      </c>
      <c r="R224">
        <v>162.9</v>
      </c>
      <c r="S224">
        <v>150.80000000000001</v>
      </c>
      <c r="T224">
        <v>146.1</v>
      </c>
      <c r="U224">
        <v>150.1</v>
      </c>
      <c r="V224" t="s">
        <v>47</v>
      </c>
      <c r="W224">
        <v>149</v>
      </c>
      <c r="X224">
        <v>146.4</v>
      </c>
      <c r="Y224">
        <v>150</v>
      </c>
      <c r="Z224">
        <v>150.4</v>
      </c>
      <c r="AA224">
        <v>129.9</v>
      </c>
      <c r="AB224">
        <v>143.80000000000001</v>
      </c>
      <c r="AC224">
        <v>155.5</v>
      </c>
      <c r="AD224">
        <v>134</v>
      </c>
      <c r="AE224">
        <v>142.4</v>
      </c>
      <c r="AF224">
        <v>141.19999999999999</v>
      </c>
      <c r="AG224">
        <v>1761.2000000000003</v>
      </c>
      <c r="AH224">
        <v>162.9</v>
      </c>
      <c r="AI224">
        <v>296.89999999999998</v>
      </c>
      <c r="AJ224">
        <v>721.8</v>
      </c>
      <c r="AK224">
        <v>150.4</v>
      </c>
      <c r="AL224">
        <v>129.9</v>
      </c>
      <c r="AM224">
        <v>143.80000000000001</v>
      </c>
      <c r="AN224">
        <v>155.5</v>
      </c>
    </row>
    <row r="225" spans="1:40" x14ac:dyDescent="0.25">
      <c r="A225" t="s">
        <v>32</v>
      </c>
      <c r="B225">
        <v>2019</v>
      </c>
      <c r="C225" t="s">
        <v>35</v>
      </c>
      <c r="D225" t="s">
        <v>189</v>
      </c>
      <c r="E225">
        <v>139.69999999999999</v>
      </c>
      <c r="F225">
        <v>151.1</v>
      </c>
      <c r="G225">
        <v>142.9</v>
      </c>
      <c r="H225">
        <v>141.9</v>
      </c>
      <c r="I225">
        <v>118.4</v>
      </c>
      <c r="J225">
        <v>139.4</v>
      </c>
      <c r="K225">
        <v>141.19999999999999</v>
      </c>
      <c r="L225">
        <v>120.7</v>
      </c>
      <c r="M225">
        <v>110.4</v>
      </c>
      <c r="N225">
        <v>140.69999999999999</v>
      </c>
      <c r="O225">
        <v>128.5</v>
      </c>
      <c r="P225">
        <v>153.9</v>
      </c>
      <c r="Q225">
        <v>139.6</v>
      </c>
      <c r="R225">
        <v>165.3</v>
      </c>
      <c r="S225">
        <v>143.5</v>
      </c>
      <c r="T225">
        <v>131.19999999999999</v>
      </c>
      <c r="U225">
        <v>141.6</v>
      </c>
      <c r="V225">
        <v>149</v>
      </c>
      <c r="W225">
        <v>149</v>
      </c>
      <c r="X225">
        <v>128.80000000000001</v>
      </c>
      <c r="Y225">
        <v>136.80000000000001</v>
      </c>
      <c r="Z225">
        <v>139.19999999999999</v>
      </c>
      <c r="AA225">
        <v>119.9</v>
      </c>
      <c r="AB225">
        <v>133</v>
      </c>
      <c r="AC225">
        <v>146.69999999999999</v>
      </c>
      <c r="AD225">
        <v>132.5</v>
      </c>
      <c r="AE225">
        <v>132.80000000000001</v>
      </c>
      <c r="AF225">
        <v>139.5</v>
      </c>
      <c r="AG225">
        <v>1768.4</v>
      </c>
      <c r="AH225">
        <v>165.3</v>
      </c>
      <c r="AI225">
        <v>274.7</v>
      </c>
      <c r="AJ225">
        <v>679.90000000000009</v>
      </c>
      <c r="AK225">
        <v>139.19999999999999</v>
      </c>
      <c r="AL225">
        <v>119.9</v>
      </c>
      <c r="AM225">
        <v>133</v>
      </c>
      <c r="AN225">
        <v>146.69999999999999</v>
      </c>
    </row>
    <row r="226" spans="1:40" x14ac:dyDescent="0.25">
      <c r="A226" t="s">
        <v>33</v>
      </c>
      <c r="B226">
        <v>2019</v>
      </c>
      <c r="C226" t="s">
        <v>35</v>
      </c>
      <c r="D226" t="s">
        <v>189</v>
      </c>
      <c r="E226">
        <v>137.80000000000001</v>
      </c>
      <c r="F226">
        <v>153</v>
      </c>
      <c r="G226">
        <v>140.30000000000001</v>
      </c>
      <c r="H226">
        <v>142.30000000000001</v>
      </c>
      <c r="I226">
        <v>122</v>
      </c>
      <c r="J226">
        <v>137.6</v>
      </c>
      <c r="K226">
        <v>132.6</v>
      </c>
      <c r="L226">
        <v>121.8</v>
      </c>
      <c r="M226">
        <v>109</v>
      </c>
      <c r="N226">
        <v>139.5</v>
      </c>
      <c r="O226">
        <v>133.69999999999999</v>
      </c>
      <c r="P226">
        <v>155.19999999999999</v>
      </c>
      <c r="Q226">
        <v>138.1</v>
      </c>
      <c r="R226">
        <v>163.5</v>
      </c>
      <c r="S226">
        <v>147.9</v>
      </c>
      <c r="T226">
        <v>139.9</v>
      </c>
      <c r="U226">
        <v>146.69999999999999</v>
      </c>
      <c r="V226">
        <v>149</v>
      </c>
      <c r="W226">
        <v>149</v>
      </c>
      <c r="X226">
        <v>139.69999999999999</v>
      </c>
      <c r="Y226">
        <v>143.80000000000001</v>
      </c>
      <c r="Z226">
        <v>146.19999999999999</v>
      </c>
      <c r="AA226">
        <v>124.6</v>
      </c>
      <c r="AB226">
        <v>137.69999999999999</v>
      </c>
      <c r="AC226">
        <v>150.30000000000001</v>
      </c>
      <c r="AD226">
        <v>133.4</v>
      </c>
      <c r="AE226">
        <v>137.69999999999999</v>
      </c>
      <c r="AF226">
        <v>140.4</v>
      </c>
      <c r="AG226">
        <v>1762.9</v>
      </c>
      <c r="AH226">
        <v>163.5</v>
      </c>
      <c r="AI226">
        <v>287.8</v>
      </c>
      <c r="AJ226">
        <v>703.59999999999991</v>
      </c>
      <c r="AK226">
        <v>146.19999999999999</v>
      </c>
      <c r="AL226">
        <v>124.6</v>
      </c>
      <c r="AM226">
        <v>137.69999999999999</v>
      </c>
      <c r="AN226">
        <v>150.30000000000001</v>
      </c>
    </row>
    <row r="227" spans="1:40" x14ac:dyDescent="0.25">
      <c r="A227" t="s">
        <v>30</v>
      </c>
      <c r="B227">
        <v>2019</v>
      </c>
      <c r="C227" t="s">
        <v>37</v>
      </c>
      <c r="D227" t="s">
        <v>190</v>
      </c>
      <c r="E227">
        <v>137.4</v>
      </c>
      <c r="F227">
        <v>159.5</v>
      </c>
      <c r="G227">
        <v>134.5</v>
      </c>
      <c r="H227">
        <v>142.6</v>
      </c>
      <c r="I227">
        <v>124</v>
      </c>
      <c r="J227">
        <v>143.69999999999999</v>
      </c>
      <c r="K227">
        <v>133.4</v>
      </c>
      <c r="L227">
        <v>125.1</v>
      </c>
      <c r="M227">
        <v>109.3</v>
      </c>
      <c r="N227">
        <v>139.30000000000001</v>
      </c>
      <c r="O227">
        <v>137.69999999999999</v>
      </c>
      <c r="P227">
        <v>156.4</v>
      </c>
      <c r="Q227">
        <v>139.19999999999999</v>
      </c>
      <c r="R227">
        <v>163.30000000000001</v>
      </c>
      <c r="S227">
        <v>151.30000000000001</v>
      </c>
      <c r="T227">
        <v>146.6</v>
      </c>
      <c r="U227">
        <v>150.69999999999999</v>
      </c>
      <c r="V227" t="s">
        <v>47</v>
      </c>
      <c r="W227">
        <v>150.1</v>
      </c>
      <c r="X227">
        <v>146.9</v>
      </c>
      <c r="Y227">
        <v>149.5</v>
      </c>
      <c r="Z227">
        <v>151.30000000000001</v>
      </c>
      <c r="AA227">
        <v>130.19999999999999</v>
      </c>
      <c r="AB227">
        <v>145.9</v>
      </c>
      <c r="AC227">
        <v>156.69999999999999</v>
      </c>
      <c r="AD227">
        <v>133.9</v>
      </c>
      <c r="AE227">
        <v>142.9</v>
      </c>
      <c r="AF227">
        <v>142.4</v>
      </c>
      <c r="AG227">
        <v>1782.1000000000001</v>
      </c>
      <c r="AH227">
        <v>163.30000000000001</v>
      </c>
      <c r="AI227">
        <v>297.89999999999998</v>
      </c>
      <c r="AJ227">
        <v>723.3</v>
      </c>
      <c r="AK227">
        <v>151.30000000000001</v>
      </c>
      <c r="AL227">
        <v>130.19999999999999</v>
      </c>
      <c r="AM227">
        <v>145.9</v>
      </c>
      <c r="AN227">
        <v>156.69999999999999</v>
      </c>
    </row>
    <row r="228" spans="1:40" x14ac:dyDescent="0.25">
      <c r="A228" t="s">
        <v>32</v>
      </c>
      <c r="B228">
        <v>2019</v>
      </c>
      <c r="C228" t="s">
        <v>37</v>
      </c>
      <c r="D228" t="s">
        <v>190</v>
      </c>
      <c r="E228">
        <v>140.4</v>
      </c>
      <c r="F228">
        <v>156.69999999999999</v>
      </c>
      <c r="G228">
        <v>138.30000000000001</v>
      </c>
      <c r="H228">
        <v>142.4</v>
      </c>
      <c r="I228">
        <v>118.6</v>
      </c>
      <c r="J228">
        <v>149.69999999999999</v>
      </c>
      <c r="K228">
        <v>161.6</v>
      </c>
      <c r="L228">
        <v>124.4</v>
      </c>
      <c r="M228">
        <v>111.2</v>
      </c>
      <c r="N228">
        <v>141</v>
      </c>
      <c r="O228">
        <v>128.9</v>
      </c>
      <c r="P228">
        <v>154.5</v>
      </c>
      <c r="Q228">
        <v>143.80000000000001</v>
      </c>
      <c r="R228">
        <v>166.2</v>
      </c>
      <c r="S228">
        <v>144</v>
      </c>
      <c r="T228">
        <v>131.69999999999999</v>
      </c>
      <c r="U228">
        <v>142.19999999999999</v>
      </c>
      <c r="V228">
        <v>150.1</v>
      </c>
      <c r="W228">
        <v>150.1</v>
      </c>
      <c r="X228">
        <v>129.4</v>
      </c>
      <c r="Y228">
        <v>137.19999999999999</v>
      </c>
      <c r="Z228">
        <v>139.80000000000001</v>
      </c>
      <c r="AA228">
        <v>120.1</v>
      </c>
      <c r="AB228">
        <v>134</v>
      </c>
      <c r="AC228">
        <v>148</v>
      </c>
      <c r="AD228">
        <v>132.6</v>
      </c>
      <c r="AE228">
        <v>133.30000000000001</v>
      </c>
      <c r="AF228">
        <v>141.5</v>
      </c>
      <c r="AG228">
        <v>1811.5000000000002</v>
      </c>
      <c r="AH228">
        <v>166.2</v>
      </c>
      <c r="AI228">
        <v>275.7</v>
      </c>
      <c r="AJ228">
        <v>682.59999999999991</v>
      </c>
      <c r="AK228">
        <v>139.80000000000001</v>
      </c>
      <c r="AL228">
        <v>120.1</v>
      </c>
      <c r="AM228">
        <v>134</v>
      </c>
      <c r="AN228">
        <v>148</v>
      </c>
    </row>
    <row r="229" spans="1:40" x14ac:dyDescent="0.25">
      <c r="A229" t="s">
        <v>33</v>
      </c>
      <c r="B229">
        <v>2019</v>
      </c>
      <c r="C229" t="s">
        <v>37</v>
      </c>
      <c r="D229" t="s">
        <v>190</v>
      </c>
      <c r="E229">
        <v>138.30000000000001</v>
      </c>
      <c r="F229">
        <v>158.5</v>
      </c>
      <c r="G229">
        <v>136</v>
      </c>
      <c r="H229">
        <v>142.5</v>
      </c>
      <c r="I229">
        <v>122</v>
      </c>
      <c r="J229">
        <v>146.5</v>
      </c>
      <c r="K229">
        <v>143</v>
      </c>
      <c r="L229">
        <v>124.9</v>
      </c>
      <c r="M229">
        <v>109.9</v>
      </c>
      <c r="N229">
        <v>139.9</v>
      </c>
      <c r="O229">
        <v>134</v>
      </c>
      <c r="P229">
        <v>155.5</v>
      </c>
      <c r="Q229">
        <v>140.9</v>
      </c>
      <c r="R229">
        <v>164.1</v>
      </c>
      <c r="S229">
        <v>148.4</v>
      </c>
      <c r="T229">
        <v>140.4</v>
      </c>
      <c r="U229">
        <v>147.30000000000001</v>
      </c>
      <c r="V229">
        <v>150.1</v>
      </c>
      <c r="W229">
        <v>150.1</v>
      </c>
      <c r="X229">
        <v>140.30000000000001</v>
      </c>
      <c r="Y229">
        <v>143.69999999999999</v>
      </c>
      <c r="Z229">
        <v>146.9</v>
      </c>
      <c r="AA229">
        <v>124.9</v>
      </c>
      <c r="AB229">
        <v>139.19999999999999</v>
      </c>
      <c r="AC229">
        <v>151.6</v>
      </c>
      <c r="AD229">
        <v>133.4</v>
      </c>
      <c r="AE229">
        <v>138.19999999999999</v>
      </c>
      <c r="AF229">
        <v>142</v>
      </c>
      <c r="AG229">
        <v>1791.9000000000003</v>
      </c>
      <c r="AH229">
        <v>164.1</v>
      </c>
      <c r="AI229">
        <v>288.8</v>
      </c>
      <c r="AJ229">
        <v>705.7</v>
      </c>
      <c r="AK229">
        <v>146.9</v>
      </c>
      <c r="AL229">
        <v>124.9</v>
      </c>
      <c r="AM229">
        <v>139.19999999999999</v>
      </c>
      <c r="AN229">
        <v>151.6</v>
      </c>
    </row>
    <row r="230" spans="1:40" x14ac:dyDescent="0.25">
      <c r="A230" t="s">
        <v>30</v>
      </c>
      <c r="B230">
        <v>2019</v>
      </c>
      <c r="C230" t="s">
        <v>38</v>
      </c>
      <c r="D230" t="s">
        <v>188</v>
      </c>
      <c r="E230">
        <v>137.80000000000001</v>
      </c>
      <c r="F230">
        <v>163.5</v>
      </c>
      <c r="G230">
        <v>136.19999999999999</v>
      </c>
      <c r="H230">
        <v>143.19999999999999</v>
      </c>
      <c r="I230">
        <v>124.3</v>
      </c>
      <c r="J230">
        <v>143.30000000000001</v>
      </c>
      <c r="K230">
        <v>140.6</v>
      </c>
      <c r="L230">
        <v>128.69999999999999</v>
      </c>
      <c r="M230">
        <v>110.6</v>
      </c>
      <c r="N230">
        <v>140.4</v>
      </c>
      <c r="O230">
        <v>138</v>
      </c>
      <c r="P230">
        <v>156.6</v>
      </c>
      <c r="Q230">
        <v>141</v>
      </c>
      <c r="R230">
        <v>164.2</v>
      </c>
      <c r="S230">
        <v>151.4</v>
      </c>
      <c r="T230">
        <v>146.5</v>
      </c>
      <c r="U230">
        <v>150.69999999999999</v>
      </c>
      <c r="V230" t="s">
        <v>47</v>
      </c>
      <c r="W230">
        <v>149.4</v>
      </c>
      <c r="X230">
        <v>147.80000000000001</v>
      </c>
      <c r="Y230">
        <v>149.6</v>
      </c>
      <c r="Z230">
        <v>151.69999999999999</v>
      </c>
      <c r="AA230">
        <v>130.19999999999999</v>
      </c>
      <c r="AB230">
        <v>146.4</v>
      </c>
      <c r="AC230">
        <v>157.69999999999999</v>
      </c>
      <c r="AD230">
        <v>134.80000000000001</v>
      </c>
      <c r="AE230">
        <v>143.30000000000001</v>
      </c>
      <c r="AF230">
        <v>143.6</v>
      </c>
      <c r="AG230">
        <v>1804.1999999999998</v>
      </c>
      <c r="AH230">
        <v>164.2</v>
      </c>
      <c r="AI230">
        <v>297.89999999999998</v>
      </c>
      <c r="AJ230">
        <v>724.90000000000009</v>
      </c>
      <c r="AK230">
        <v>151.69999999999999</v>
      </c>
      <c r="AL230">
        <v>130.19999999999999</v>
      </c>
      <c r="AM230">
        <v>146.4</v>
      </c>
      <c r="AN230">
        <v>157.69999999999999</v>
      </c>
    </row>
    <row r="231" spans="1:40" x14ac:dyDescent="0.25">
      <c r="A231" t="s">
        <v>32</v>
      </c>
      <c r="B231">
        <v>2019</v>
      </c>
      <c r="C231" t="s">
        <v>38</v>
      </c>
      <c r="D231" t="s">
        <v>188</v>
      </c>
      <c r="E231">
        <v>140.69999999999999</v>
      </c>
      <c r="F231">
        <v>159.6</v>
      </c>
      <c r="G231">
        <v>140.4</v>
      </c>
      <c r="H231">
        <v>143.4</v>
      </c>
      <c r="I231">
        <v>118.6</v>
      </c>
      <c r="J231">
        <v>150.9</v>
      </c>
      <c r="K231">
        <v>169.8</v>
      </c>
      <c r="L231">
        <v>127.4</v>
      </c>
      <c r="M231">
        <v>111.8</v>
      </c>
      <c r="N231">
        <v>141</v>
      </c>
      <c r="O231">
        <v>129</v>
      </c>
      <c r="P231">
        <v>155.1</v>
      </c>
      <c r="Q231">
        <v>145.6</v>
      </c>
      <c r="R231">
        <v>166.7</v>
      </c>
      <c r="S231">
        <v>144.30000000000001</v>
      </c>
      <c r="T231">
        <v>131.69999999999999</v>
      </c>
      <c r="U231">
        <v>142.4</v>
      </c>
      <c r="V231">
        <v>149.4</v>
      </c>
      <c r="W231">
        <v>149.4</v>
      </c>
      <c r="X231">
        <v>130.5</v>
      </c>
      <c r="Y231">
        <v>137.4</v>
      </c>
      <c r="Z231">
        <v>140.30000000000001</v>
      </c>
      <c r="AA231">
        <v>119.6</v>
      </c>
      <c r="AB231">
        <v>134.30000000000001</v>
      </c>
      <c r="AC231">
        <v>148.9</v>
      </c>
      <c r="AD231">
        <v>133.69999999999999</v>
      </c>
      <c r="AE231">
        <v>133.6</v>
      </c>
      <c r="AF231">
        <v>142.1</v>
      </c>
      <c r="AG231">
        <v>1833.2999999999997</v>
      </c>
      <c r="AH231">
        <v>166.7</v>
      </c>
      <c r="AI231">
        <v>276</v>
      </c>
      <c r="AJ231">
        <v>684.6</v>
      </c>
      <c r="AK231">
        <v>140.30000000000001</v>
      </c>
      <c r="AL231">
        <v>119.6</v>
      </c>
      <c r="AM231">
        <v>134.30000000000001</v>
      </c>
      <c r="AN231">
        <v>148.9</v>
      </c>
    </row>
    <row r="232" spans="1:40" x14ac:dyDescent="0.25">
      <c r="A232" t="s">
        <v>33</v>
      </c>
      <c r="B232">
        <v>2019</v>
      </c>
      <c r="C232" t="s">
        <v>38</v>
      </c>
      <c r="D232" t="s">
        <v>188</v>
      </c>
      <c r="E232">
        <v>138.69999999999999</v>
      </c>
      <c r="F232">
        <v>162.1</v>
      </c>
      <c r="G232">
        <v>137.80000000000001</v>
      </c>
      <c r="H232">
        <v>143.30000000000001</v>
      </c>
      <c r="I232">
        <v>122.2</v>
      </c>
      <c r="J232">
        <v>146.80000000000001</v>
      </c>
      <c r="K232">
        <v>150.5</v>
      </c>
      <c r="L232">
        <v>128.30000000000001</v>
      </c>
      <c r="M232">
        <v>111</v>
      </c>
      <c r="N232">
        <v>140.6</v>
      </c>
      <c r="O232">
        <v>134.19999999999999</v>
      </c>
      <c r="P232">
        <v>155.9</v>
      </c>
      <c r="Q232">
        <v>142.69999999999999</v>
      </c>
      <c r="R232">
        <v>164.9</v>
      </c>
      <c r="S232">
        <v>148.6</v>
      </c>
      <c r="T232">
        <v>140.4</v>
      </c>
      <c r="U232">
        <v>147.4</v>
      </c>
      <c r="V232">
        <v>149.4</v>
      </c>
      <c r="W232">
        <v>149.4</v>
      </c>
      <c r="X232">
        <v>141.19999999999999</v>
      </c>
      <c r="Y232">
        <v>143.80000000000001</v>
      </c>
      <c r="Z232">
        <v>147.4</v>
      </c>
      <c r="AA232">
        <v>124.6</v>
      </c>
      <c r="AB232">
        <v>139.6</v>
      </c>
      <c r="AC232">
        <v>152.5</v>
      </c>
      <c r="AD232">
        <v>134.30000000000001</v>
      </c>
      <c r="AE232">
        <v>138.6</v>
      </c>
      <c r="AF232">
        <v>142.9</v>
      </c>
      <c r="AG232">
        <v>1814.1000000000001</v>
      </c>
      <c r="AH232">
        <v>164.9</v>
      </c>
      <c r="AI232">
        <v>289</v>
      </c>
      <c r="AJ232">
        <v>707.30000000000007</v>
      </c>
      <c r="AK232">
        <v>147.4</v>
      </c>
      <c r="AL232">
        <v>124.6</v>
      </c>
      <c r="AM232">
        <v>139.6</v>
      </c>
      <c r="AN232">
        <v>152.5</v>
      </c>
    </row>
    <row r="233" spans="1:40" x14ac:dyDescent="0.25">
      <c r="A233" t="s">
        <v>30</v>
      </c>
      <c r="B233">
        <v>2019</v>
      </c>
      <c r="C233" t="s">
        <v>39</v>
      </c>
      <c r="D233" t="s">
        <v>187</v>
      </c>
      <c r="E233">
        <v>138.4</v>
      </c>
      <c r="F233">
        <v>164</v>
      </c>
      <c r="G233">
        <v>138.4</v>
      </c>
      <c r="H233">
        <v>143.9</v>
      </c>
      <c r="I233">
        <v>124.4</v>
      </c>
      <c r="J233">
        <v>146.4</v>
      </c>
      <c r="K233">
        <v>150.1</v>
      </c>
      <c r="L233">
        <v>130.6</v>
      </c>
      <c r="M233">
        <v>110.8</v>
      </c>
      <c r="N233">
        <v>141.69999999999999</v>
      </c>
      <c r="O233">
        <v>138.5</v>
      </c>
      <c r="P233">
        <v>156.69999999999999</v>
      </c>
      <c r="Q233">
        <v>143</v>
      </c>
      <c r="R233">
        <v>164.5</v>
      </c>
      <c r="S233">
        <v>151.6</v>
      </c>
      <c r="T233">
        <v>146.6</v>
      </c>
      <c r="U233">
        <v>150.9</v>
      </c>
      <c r="V233" t="s">
        <v>47</v>
      </c>
      <c r="W233">
        <v>150.6</v>
      </c>
      <c r="X233">
        <v>146.80000000000001</v>
      </c>
      <c r="Y233">
        <v>150</v>
      </c>
      <c r="Z233">
        <v>152.19999999999999</v>
      </c>
      <c r="AA233">
        <v>131.19999999999999</v>
      </c>
      <c r="AB233">
        <v>147.5</v>
      </c>
      <c r="AC233">
        <v>159.1</v>
      </c>
      <c r="AD233">
        <v>136.1</v>
      </c>
      <c r="AE233">
        <v>144.19999999999999</v>
      </c>
      <c r="AF233">
        <v>144.9</v>
      </c>
      <c r="AG233">
        <v>1826.8999999999999</v>
      </c>
      <c r="AH233">
        <v>164.5</v>
      </c>
      <c r="AI233">
        <v>298.2</v>
      </c>
      <c r="AJ233">
        <v>727.7</v>
      </c>
      <c r="AK233">
        <v>152.19999999999999</v>
      </c>
      <c r="AL233">
        <v>131.19999999999999</v>
      </c>
      <c r="AM233">
        <v>147.5</v>
      </c>
      <c r="AN233">
        <v>159.1</v>
      </c>
    </row>
    <row r="234" spans="1:40" x14ac:dyDescent="0.25">
      <c r="A234" t="s">
        <v>32</v>
      </c>
      <c r="B234">
        <v>2019</v>
      </c>
      <c r="C234" t="s">
        <v>39</v>
      </c>
      <c r="D234" t="s">
        <v>187</v>
      </c>
      <c r="E234">
        <v>141.4</v>
      </c>
      <c r="F234">
        <v>160.19999999999999</v>
      </c>
      <c r="G234">
        <v>142.5</v>
      </c>
      <c r="H234">
        <v>144.1</v>
      </c>
      <c r="I234">
        <v>119.3</v>
      </c>
      <c r="J234">
        <v>154.69999999999999</v>
      </c>
      <c r="K234">
        <v>180.1</v>
      </c>
      <c r="L234">
        <v>128.9</v>
      </c>
      <c r="M234">
        <v>111.8</v>
      </c>
      <c r="N234">
        <v>141.6</v>
      </c>
      <c r="O234">
        <v>129.5</v>
      </c>
      <c r="P234">
        <v>155.6</v>
      </c>
      <c r="Q234">
        <v>147.69999999999999</v>
      </c>
      <c r="R234">
        <v>167.2</v>
      </c>
      <c r="S234">
        <v>144.69999999999999</v>
      </c>
      <c r="T234">
        <v>131.9</v>
      </c>
      <c r="U234">
        <v>142.69999999999999</v>
      </c>
      <c r="V234">
        <v>150.6</v>
      </c>
      <c r="W234">
        <v>150.6</v>
      </c>
      <c r="X234">
        <v>127</v>
      </c>
      <c r="Y234">
        <v>137.69999999999999</v>
      </c>
      <c r="Z234">
        <v>140.80000000000001</v>
      </c>
      <c r="AA234">
        <v>120.6</v>
      </c>
      <c r="AB234">
        <v>135</v>
      </c>
      <c r="AC234">
        <v>150.4</v>
      </c>
      <c r="AD234">
        <v>135.1</v>
      </c>
      <c r="AE234">
        <v>134.5</v>
      </c>
      <c r="AF234">
        <v>143.30000000000001</v>
      </c>
      <c r="AG234">
        <v>1857.3999999999999</v>
      </c>
      <c r="AH234">
        <v>167.2</v>
      </c>
      <c r="AI234">
        <v>276.60000000000002</v>
      </c>
      <c r="AJ234">
        <v>684.9</v>
      </c>
      <c r="AK234">
        <v>140.80000000000001</v>
      </c>
      <c r="AL234">
        <v>120.6</v>
      </c>
      <c r="AM234">
        <v>135</v>
      </c>
      <c r="AN234">
        <v>150.4</v>
      </c>
    </row>
    <row r="235" spans="1:40" x14ac:dyDescent="0.25">
      <c r="A235" t="s">
        <v>33</v>
      </c>
      <c r="B235">
        <v>2019</v>
      </c>
      <c r="C235" t="s">
        <v>39</v>
      </c>
      <c r="D235" t="s">
        <v>187</v>
      </c>
      <c r="E235">
        <v>139.30000000000001</v>
      </c>
      <c r="F235">
        <v>162.69999999999999</v>
      </c>
      <c r="G235">
        <v>140</v>
      </c>
      <c r="H235">
        <v>144</v>
      </c>
      <c r="I235">
        <v>122.5</v>
      </c>
      <c r="J235">
        <v>150.30000000000001</v>
      </c>
      <c r="K235">
        <v>160.30000000000001</v>
      </c>
      <c r="L235">
        <v>130</v>
      </c>
      <c r="M235">
        <v>111.1</v>
      </c>
      <c r="N235">
        <v>141.69999999999999</v>
      </c>
      <c r="O235">
        <v>134.69999999999999</v>
      </c>
      <c r="P235">
        <v>156.19999999999999</v>
      </c>
      <c r="Q235">
        <v>144.69999999999999</v>
      </c>
      <c r="R235">
        <v>165.2</v>
      </c>
      <c r="S235">
        <v>148.9</v>
      </c>
      <c r="T235">
        <v>140.5</v>
      </c>
      <c r="U235">
        <v>147.6</v>
      </c>
      <c r="V235">
        <v>150.6</v>
      </c>
      <c r="W235">
        <v>150.6</v>
      </c>
      <c r="X235">
        <v>139.30000000000001</v>
      </c>
      <c r="Y235">
        <v>144.19999999999999</v>
      </c>
      <c r="Z235">
        <v>147.9</v>
      </c>
      <c r="AA235">
        <v>125.6</v>
      </c>
      <c r="AB235">
        <v>140.5</v>
      </c>
      <c r="AC235">
        <v>154</v>
      </c>
      <c r="AD235">
        <v>135.69999999999999</v>
      </c>
      <c r="AE235">
        <v>139.5</v>
      </c>
      <c r="AF235">
        <v>144.19999999999999</v>
      </c>
      <c r="AG235">
        <v>1837.5</v>
      </c>
      <c r="AH235">
        <v>165.2</v>
      </c>
      <c r="AI235">
        <v>289.39999999999998</v>
      </c>
      <c r="AJ235">
        <v>709.3</v>
      </c>
      <c r="AK235">
        <v>147.9</v>
      </c>
      <c r="AL235">
        <v>125.6</v>
      </c>
      <c r="AM235">
        <v>140.5</v>
      </c>
      <c r="AN235">
        <v>154</v>
      </c>
    </row>
    <row r="236" spans="1:40" x14ac:dyDescent="0.25">
      <c r="A236" t="s">
        <v>30</v>
      </c>
      <c r="B236">
        <v>2019</v>
      </c>
      <c r="C236" t="s">
        <v>40</v>
      </c>
      <c r="D236" t="s">
        <v>183</v>
      </c>
      <c r="E236">
        <v>139.19999999999999</v>
      </c>
      <c r="F236">
        <v>161.9</v>
      </c>
      <c r="G236">
        <v>137.1</v>
      </c>
      <c r="H236">
        <v>144.6</v>
      </c>
      <c r="I236">
        <v>124.7</v>
      </c>
      <c r="J236">
        <v>145.5</v>
      </c>
      <c r="K236">
        <v>156.19999999999999</v>
      </c>
      <c r="L236">
        <v>131.5</v>
      </c>
      <c r="M236">
        <v>111.7</v>
      </c>
      <c r="N236">
        <v>142.69999999999999</v>
      </c>
      <c r="O236">
        <v>138.5</v>
      </c>
      <c r="P236">
        <v>156.9</v>
      </c>
      <c r="Q236">
        <v>144</v>
      </c>
      <c r="R236">
        <v>165.1</v>
      </c>
      <c r="S236">
        <v>151.80000000000001</v>
      </c>
      <c r="T236">
        <v>146.6</v>
      </c>
      <c r="U236">
        <v>151.1</v>
      </c>
      <c r="V236" t="s">
        <v>47</v>
      </c>
      <c r="W236">
        <v>151.6</v>
      </c>
      <c r="X236">
        <v>146.4</v>
      </c>
      <c r="Y236">
        <v>150.19999999999999</v>
      </c>
      <c r="Z236">
        <v>152.69999999999999</v>
      </c>
      <c r="AA236">
        <v>131.4</v>
      </c>
      <c r="AB236">
        <v>148</v>
      </c>
      <c r="AC236">
        <v>159.69999999999999</v>
      </c>
      <c r="AD236">
        <v>138.80000000000001</v>
      </c>
      <c r="AE236">
        <v>144.9</v>
      </c>
      <c r="AF236">
        <v>145.69999999999999</v>
      </c>
      <c r="AG236">
        <v>1834.5000000000002</v>
      </c>
      <c r="AH236">
        <v>165.1</v>
      </c>
      <c r="AI236">
        <v>298.39999999999998</v>
      </c>
      <c r="AJ236">
        <v>731.9</v>
      </c>
      <c r="AK236">
        <v>152.69999999999999</v>
      </c>
      <c r="AL236">
        <v>131.4</v>
      </c>
      <c r="AM236">
        <v>148</v>
      </c>
      <c r="AN236">
        <v>159.69999999999999</v>
      </c>
    </row>
    <row r="237" spans="1:40" x14ac:dyDescent="0.25">
      <c r="A237" t="s">
        <v>32</v>
      </c>
      <c r="B237">
        <v>2019</v>
      </c>
      <c r="C237" t="s">
        <v>40</v>
      </c>
      <c r="D237" t="s">
        <v>183</v>
      </c>
      <c r="E237">
        <v>142.1</v>
      </c>
      <c r="F237">
        <v>158.30000000000001</v>
      </c>
      <c r="G237">
        <v>140.80000000000001</v>
      </c>
      <c r="H237">
        <v>144.9</v>
      </c>
      <c r="I237">
        <v>119.9</v>
      </c>
      <c r="J237">
        <v>153.9</v>
      </c>
      <c r="K237">
        <v>189.1</v>
      </c>
      <c r="L237">
        <v>129.80000000000001</v>
      </c>
      <c r="M237">
        <v>112.7</v>
      </c>
      <c r="N237">
        <v>142.5</v>
      </c>
      <c r="O237">
        <v>129.80000000000001</v>
      </c>
      <c r="P237">
        <v>156.19999999999999</v>
      </c>
      <c r="Q237">
        <v>149.1</v>
      </c>
      <c r="R237">
        <v>167.9</v>
      </c>
      <c r="S237">
        <v>145</v>
      </c>
      <c r="T237">
        <v>132.19999999999999</v>
      </c>
      <c r="U237">
        <v>143</v>
      </c>
      <c r="V237">
        <v>151.6</v>
      </c>
      <c r="W237">
        <v>151.6</v>
      </c>
      <c r="X237">
        <v>125.5</v>
      </c>
      <c r="Y237">
        <v>138.1</v>
      </c>
      <c r="Z237">
        <v>141.5</v>
      </c>
      <c r="AA237">
        <v>120.8</v>
      </c>
      <c r="AB237">
        <v>135.4</v>
      </c>
      <c r="AC237">
        <v>151.5</v>
      </c>
      <c r="AD237">
        <v>137.80000000000001</v>
      </c>
      <c r="AE237">
        <v>135.30000000000001</v>
      </c>
      <c r="AF237">
        <v>144.19999999999999</v>
      </c>
      <c r="AG237">
        <v>1869.1</v>
      </c>
      <c r="AH237">
        <v>167.9</v>
      </c>
      <c r="AI237">
        <v>277.2</v>
      </c>
      <c r="AJ237">
        <v>688.3</v>
      </c>
      <c r="AK237">
        <v>141.5</v>
      </c>
      <c r="AL237">
        <v>120.8</v>
      </c>
      <c r="AM237">
        <v>135.4</v>
      </c>
      <c r="AN237">
        <v>151.5</v>
      </c>
    </row>
    <row r="238" spans="1:40" x14ac:dyDescent="0.25">
      <c r="A238" t="s">
        <v>33</v>
      </c>
      <c r="B238">
        <v>2019</v>
      </c>
      <c r="C238" t="s">
        <v>40</v>
      </c>
      <c r="D238" t="s">
        <v>183</v>
      </c>
      <c r="E238">
        <v>140.1</v>
      </c>
      <c r="F238">
        <v>160.6</v>
      </c>
      <c r="G238">
        <v>138.5</v>
      </c>
      <c r="H238">
        <v>144.69999999999999</v>
      </c>
      <c r="I238">
        <v>122.9</v>
      </c>
      <c r="J238">
        <v>149.4</v>
      </c>
      <c r="K238">
        <v>167.4</v>
      </c>
      <c r="L238">
        <v>130.9</v>
      </c>
      <c r="M238">
        <v>112</v>
      </c>
      <c r="N238">
        <v>142.6</v>
      </c>
      <c r="O238">
        <v>134.9</v>
      </c>
      <c r="P238">
        <v>156.6</v>
      </c>
      <c r="Q238">
        <v>145.9</v>
      </c>
      <c r="R238">
        <v>165.8</v>
      </c>
      <c r="S238">
        <v>149.1</v>
      </c>
      <c r="T238">
        <v>140.6</v>
      </c>
      <c r="U238">
        <v>147.9</v>
      </c>
      <c r="V238">
        <v>151.6</v>
      </c>
      <c r="W238">
        <v>151.6</v>
      </c>
      <c r="X238">
        <v>138.5</v>
      </c>
      <c r="Y238">
        <v>144.5</v>
      </c>
      <c r="Z238">
        <v>148.5</v>
      </c>
      <c r="AA238">
        <v>125.8</v>
      </c>
      <c r="AB238">
        <v>140.9</v>
      </c>
      <c r="AC238">
        <v>154.9</v>
      </c>
      <c r="AD238">
        <v>138.4</v>
      </c>
      <c r="AE238">
        <v>140.19999999999999</v>
      </c>
      <c r="AF238">
        <v>145</v>
      </c>
      <c r="AG238">
        <v>1846.5</v>
      </c>
      <c r="AH238">
        <v>165.8</v>
      </c>
      <c r="AI238">
        <v>289.7</v>
      </c>
      <c r="AJ238">
        <v>713.2</v>
      </c>
      <c r="AK238">
        <v>148.5</v>
      </c>
      <c r="AL238">
        <v>125.8</v>
      </c>
      <c r="AM238">
        <v>140.9</v>
      </c>
      <c r="AN238">
        <v>154.9</v>
      </c>
    </row>
    <row r="239" spans="1:40" x14ac:dyDescent="0.25">
      <c r="A239" t="s">
        <v>30</v>
      </c>
      <c r="B239">
        <v>2019</v>
      </c>
      <c r="C239" t="s">
        <v>41</v>
      </c>
      <c r="D239" t="s">
        <v>193</v>
      </c>
      <c r="E239">
        <v>140.1</v>
      </c>
      <c r="F239">
        <v>161.9</v>
      </c>
      <c r="G239">
        <v>138.30000000000001</v>
      </c>
      <c r="H239">
        <v>145.69999999999999</v>
      </c>
      <c r="I239">
        <v>125.1</v>
      </c>
      <c r="J239">
        <v>143.80000000000001</v>
      </c>
      <c r="K239">
        <v>163.4</v>
      </c>
      <c r="L239">
        <v>132.19999999999999</v>
      </c>
      <c r="M239">
        <v>112.8</v>
      </c>
      <c r="N239">
        <v>144.19999999999999</v>
      </c>
      <c r="O239">
        <v>138.5</v>
      </c>
      <c r="P239">
        <v>157.19999999999999</v>
      </c>
      <c r="Q239">
        <v>145.5</v>
      </c>
      <c r="R239">
        <v>165.7</v>
      </c>
      <c r="S239">
        <v>151.69999999999999</v>
      </c>
      <c r="T239">
        <v>146.6</v>
      </c>
      <c r="U239">
        <v>151</v>
      </c>
      <c r="V239" t="s">
        <v>47</v>
      </c>
      <c r="W239">
        <v>152.19999999999999</v>
      </c>
      <c r="X239">
        <v>146.9</v>
      </c>
      <c r="Y239">
        <v>150.30000000000001</v>
      </c>
      <c r="Z239">
        <v>153.4</v>
      </c>
      <c r="AA239">
        <v>131.6</v>
      </c>
      <c r="AB239">
        <v>148.30000000000001</v>
      </c>
      <c r="AC239">
        <v>160.19999999999999</v>
      </c>
      <c r="AD239">
        <v>140.19999999999999</v>
      </c>
      <c r="AE239">
        <v>145.4</v>
      </c>
      <c r="AF239">
        <v>146.69999999999999</v>
      </c>
      <c r="AG239">
        <v>1848.7</v>
      </c>
      <c r="AH239">
        <v>165.7</v>
      </c>
      <c r="AI239">
        <v>298.29999999999995</v>
      </c>
      <c r="AJ239">
        <v>735</v>
      </c>
      <c r="AK239">
        <v>153.4</v>
      </c>
      <c r="AL239">
        <v>131.6</v>
      </c>
      <c r="AM239">
        <v>148.30000000000001</v>
      </c>
      <c r="AN239">
        <v>160.19999999999999</v>
      </c>
    </row>
    <row r="240" spans="1:40" x14ac:dyDescent="0.25">
      <c r="A240" t="s">
        <v>32</v>
      </c>
      <c r="B240">
        <v>2019</v>
      </c>
      <c r="C240" t="s">
        <v>41</v>
      </c>
      <c r="D240" t="s">
        <v>193</v>
      </c>
      <c r="E240">
        <v>142.69999999999999</v>
      </c>
      <c r="F240">
        <v>158.69999999999999</v>
      </c>
      <c r="G240">
        <v>141.6</v>
      </c>
      <c r="H240">
        <v>144.9</v>
      </c>
      <c r="I240">
        <v>120.8</v>
      </c>
      <c r="J240">
        <v>149.80000000000001</v>
      </c>
      <c r="K240">
        <v>192.4</v>
      </c>
      <c r="L240">
        <v>130.30000000000001</v>
      </c>
      <c r="M240">
        <v>114</v>
      </c>
      <c r="N240">
        <v>143.80000000000001</v>
      </c>
      <c r="O240">
        <v>130</v>
      </c>
      <c r="P240">
        <v>156.4</v>
      </c>
      <c r="Q240">
        <v>149.5</v>
      </c>
      <c r="R240">
        <v>168.6</v>
      </c>
      <c r="S240">
        <v>145.30000000000001</v>
      </c>
      <c r="T240">
        <v>132.19999999999999</v>
      </c>
      <c r="U240">
        <v>143.30000000000001</v>
      </c>
      <c r="V240">
        <v>152.19999999999999</v>
      </c>
      <c r="W240">
        <v>152.19999999999999</v>
      </c>
      <c r="X240">
        <v>126.6</v>
      </c>
      <c r="Y240">
        <v>138.30000000000001</v>
      </c>
      <c r="Z240">
        <v>141.9</v>
      </c>
      <c r="AA240">
        <v>121.2</v>
      </c>
      <c r="AB240">
        <v>135.9</v>
      </c>
      <c r="AC240">
        <v>151.6</v>
      </c>
      <c r="AD240">
        <v>139</v>
      </c>
      <c r="AE240">
        <v>135.69999999999999</v>
      </c>
      <c r="AF240">
        <v>144.69999999999999</v>
      </c>
      <c r="AG240">
        <v>1874.9</v>
      </c>
      <c r="AH240">
        <v>168.6</v>
      </c>
      <c r="AI240">
        <v>277.5</v>
      </c>
      <c r="AJ240">
        <v>691.8</v>
      </c>
      <c r="AK240">
        <v>141.9</v>
      </c>
      <c r="AL240">
        <v>121.2</v>
      </c>
      <c r="AM240">
        <v>135.9</v>
      </c>
      <c r="AN240">
        <v>151.6</v>
      </c>
    </row>
    <row r="241" spans="1:40" x14ac:dyDescent="0.25">
      <c r="A241" t="s">
        <v>33</v>
      </c>
      <c r="B241">
        <v>2019</v>
      </c>
      <c r="C241" t="s">
        <v>41</v>
      </c>
      <c r="D241" t="s">
        <v>193</v>
      </c>
      <c r="E241">
        <v>140.9</v>
      </c>
      <c r="F241">
        <v>160.80000000000001</v>
      </c>
      <c r="G241">
        <v>139.6</v>
      </c>
      <c r="H241">
        <v>145.4</v>
      </c>
      <c r="I241">
        <v>123.5</v>
      </c>
      <c r="J241">
        <v>146.6</v>
      </c>
      <c r="K241">
        <v>173.2</v>
      </c>
      <c r="L241">
        <v>131.6</v>
      </c>
      <c r="M241">
        <v>113.2</v>
      </c>
      <c r="N241">
        <v>144.1</v>
      </c>
      <c r="O241">
        <v>135</v>
      </c>
      <c r="P241">
        <v>156.80000000000001</v>
      </c>
      <c r="Q241">
        <v>147</v>
      </c>
      <c r="R241">
        <v>166.5</v>
      </c>
      <c r="S241">
        <v>149.19999999999999</v>
      </c>
      <c r="T241">
        <v>140.6</v>
      </c>
      <c r="U241">
        <v>147.9</v>
      </c>
      <c r="V241">
        <v>152.19999999999999</v>
      </c>
      <c r="W241">
        <v>152.19999999999999</v>
      </c>
      <c r="X241">
        <v>139.19999999999999</v>
      </c>
      <c r="Y241">
        <v>144.6</v>
      </c>
      <c r="Z241">
        <v>149</v>
      </c>
      <c r="AA241">
        <v>126.1</v>
      </c>
      <c r="AB241">
        <v>141.30000000000001</v>
      </c>
      <c r="AC241">
        <v>155.19999999999999</v>
      </c>
      <c r="AD241">
        <v>139.69999999999999</v>
      </c>
      <c r="AE241">
        <v>140.69999999999999</v>
      </c>
      <c r="AF241">
        <v>145.80000000000001</v>
      </c>
      <c r="AG241">
        <v>1857.6999999999998</v>
      </c>
      <c r="AH241">
        <v>166.5</v>
      </c>
      <c r="AI241">
        <v>289.79999999999995</v>
      </c>
      <c r="AJ241">
        <v>716.40000000000009</v>
      </c>
      <c r="AK241">
        <v>149</v>
      </c>
      <c r="AL241">
        <v>126.1</v>
      </c>
      <c r="AM241">
        <v>141.30000000000001</v>
      </c>
      <c r="AN241">
        <v>155.19999999999999</v>
      </c>
    </row>
    <row r="242" spans="1:40" x14ac:dyDescent="0.25">
      <c r="A242" t="s">
        <v>30</v>
      </c>
      <c r="B242">
        <v>2019</v>
      </c>
      <c r="C242" t="s">
        <v>42</v>
      </c>
      <c r="D242" t="s">
        <v>192</v>
      </c>
      <c r="E242">
        <v>141</v>
      </c>
      <c r="F242">
        <v>161.6</v>
      </c>
      <c r="G242">
        <v>141.19999999999999</v>
      </c>
      <c r="H242">
        <v>146.5</v>
      </c>
      <c r="I242">
        <v>125.6</v>
      </c>
      <c r="J242">
        <v>145.69999999999999</v>
      </c>
      <c r="K242">
        <v>178.8</v>
      </c>
      <c r="L242">
        <v>133.1</v>
      </c>
      <c r="M242">
        <v>113.6</v>
      </c>
      <c r="N242">
        <v>145.5</v>
      </c>
      <c r="O242">
        <v>138.6</v>
      </c>
      <c r="P242">
        <v>157.4</v>
      </c>
      <c r="Q242">
        <v>148.30000000000001</v>
      </c>
      <c r="R242">
        <v>166.3</v>
      </c>
      <c r="S242">
        <v>151.69999999999999</v>
      </c>
      <c r="T242">
        <v>146.69999999999999</v>
      </c>
      <c r="U242">
        <v>151</v>
      </c>
      <c r="V242" t="s">
        <v>47</v>
      </c>
      <c r="W242">
        <v>153</v>
      </c>
      <c r="X242">
        <v>147.69999999999999</v>
      </c>
      <c r="Y242">
        <v>150.6</v>
      </c>
      <c r="Z242">
        <v>153.69999999999999</v>
      </c>
      <c r="AA242">
        <v>131.69999999999999</v>
      </c>
      <c r="AB242">
        <v>148.69999999999999</v>
      </c>
      <c r="AC242">
        <v>160.69999999999999</v>
      </c>
      <c r="AD242">
        <v>140.30000000000001</v>
      </c>
      <c r="AE242">
        <v>145.69999999999999</v>
      </c>
      <c r="AF242">
        <v>148.30000000000001</v>
      </c>
      <c r="AG242">
        <v>1876.8999999999996</v>
      </c>
      <c r="AH242">
        <v>166.3</v>
      </c>
      <c r="AI242">
        <v>298.39999999999998</v>
      </c>
      <c r="AJ242">
        <v>737.3</v>
      </c>
      <c r="AK242">
        <v>153.69999999999999</v>
      </c>
      <c r="AL242">
        <v>131.69999999999999</v>
      </c>
      <c r="AM242">
        <v>148.69999999999999</v>
      </c>
      <c r="AN242">
        <v>160.69999999999999</v>
      </c>
    </row>
    <row r="243" spans="1:40" x14ac:dyDescent="0.25">
      <c r="A243" t="s">
        <v>32</v>
      </c>
      <c r="B243">
        <v>2019</v>
      </c>
      <c r="C243" t="s">
        <v>42</v>
      </c>
      <c r="D243" t="s">
        <v>192</v>
      </c>
      <c r="E243">
        <v>143.5</v>
      </c>
      <c r="F243">
        <v>159.80000000000001</v>
      </c>
      <c r="G243">
        <v>144.69999999999999</v>
      </c>
      <c r="H243">
        <v>145.6</v>
      </c>
      <c r="I243">
        <v>121.1</v>
      </c>
      <c r="J243">
        <v>150.6</v>
      </c>
      <c r="K243">
        <v>207.2</v>
      </c>
      <c r="L243">
        <v>131.19999999999999</v>
      </c>
      <c r="M243">
        <v>114.8</v>
      </c>
      <c r="N243">
        <v>145.19999999999999</v>
      </c>
      <c r="O243">
        <v>130.19999999999999</v>
      </c>
      <c r="P243">
        <v>156.80000000000001</v>
      </c>
      <c r="Q243">
        <v>151.9</v>
      </c>
      <c r="R243">
        <v>169.3</v>
      </c>
      <c r="S243">
        <v>145.9</v>
      </c>
      <c r="T243">
        <v>132.4</v>
      </c>
      <c r="U243">
        <v>143.9</v>
      </c>
      <c r="V243">
        <v>153</v>
      </c>
      <c r="W243">
        <v>153</v>
      </c>
      <c r="X243">
        <v>128.9</v>
      </c>
      <c r="Y243">
        <v>138.69999999999999</v>
      </c>
      <c r="Z243">
        <v>142.4</v>
      </c>
      <c r="AA243">
        <v>121.5</v>
      </c>
      <c r="AB243">
        <v>136.19999999999999</v>
      </c>
      <c r="AC243">
        <v>151.69999999999999</v>
      </c>
      <c r="AD243">
        <v>139.5</v>
      </c>
      <c r="AE243">
        <v>136</v>
      </c>
      <c r="AF243">
        <v>146</v>
      </c>
      <c r="AG243">
        <v>1902.6000000000001</v>
      </c>
      <c r="AH243">
        <v>169.3</v>
      </c>
      <c r="AI243">
        <v>278.3</v>
      </c>
      <c r="AJ243">
        <v>696.09999999999991</v>
      </c>
      <c r="AK243">
        <v>142.4</v>
      </c>
      <c r="AL243">
        <v>121.5</v>
      </c>
      <c r="AM243">
        <v>136.19999999999999</v>
      </c>
      <c r="AN243">
        <v>151.69999999999999</v>
      </c>
    </row>
    <row r="244" spans="1:40" x14ac:dyDescent="0.25">
      <c r="A244" t="s">
        <v>33</v>
      </c>
      <c r="B244">
        <v>2019</v>
      </c>
      <c r="C244" t="s">
        <v>42</v>
      </c>
      <c r="D244" t="s">
        <v>192</v>
      </c>
      <c r="E244">
        <v>141.80000000000001</v>
      </c>
      <c r="F244">
        <v>161</v>
      </c>
      <c r="G244">
        <v>142.6</v>
      </c>
      <c r="H244">
        <v>146.19999999999999</v>
      </c>
      <c r="I244">
        <v>123.9</v>
      </c>
      <c r="J244">
        <v>148</v>
      </c>
      <c r="K244">
        <v>188.4</v>
      </c>
      <c r="L244">
        <v>132.5</v>
      </c>
      <c r="M244">
        <v>114</v>
      </c>
      <c r="N244">
        <v>145.4</v>
      </c>
      <c r="O244">
        <v>135.1</v>
      </c>
      <c r="P244">
        <v>157.1</v>
      </c>
      <c r="Q244">
        <v>149.6</v>
      </c>
      <c r="R244">
        <v>167.1</v>
      </c>
      <c r="S244">
        <v>149.4</v>
      </c>
      <c r="T244">
        <v>140.80000000000001</v>
      </c>
      <c r="U244">
        <v>148.19999999999999</v>
      </c>
      <c r="V244">
        <v>153</v>
      </c>
      <c r="W244">
        <v>153</v>
      </c>
      <c r="X244">
        <v>140.6</v>
      </c>
      <c r="Y244">
        <v>145</v>
      </c>
      <c r="Z244">
        <v>149.4</v>
      </c>
      <c r="AA244">
        <v>126.3</v>
      </c>
      <c r="AB244">
        <v>141.69999999999999</v>
      </c>
      <c r="AC244">
        <v>155.4</v>
      </c>
      <c r="AD244">
        <v>140</v>
      </c>
      <c r="AE244">
        <v>141</v>
      </c>
      <c r="AF244">
        <v>147.19999999999999</v>
      </c>
      <c r="AG244">
        <v>1885.5999999999997</v>
      </c>
      <c r="AH244">
        <v>167.1</v>
      </c>
      <c r="AI244">
        <v>290.20000000000005</v>
      </c>
      <c r="AJ244">
        <v>719.6</v>
      </c>
      <c r="AK244">
        <v>149.4</v>
      </c>
      <c r="AL244">
        <v>126.3</v>
      </c>
      <c r="AM244">
        <v>141.69999999999999</v>
      </c>
      <c r="AN244">
        <v>155.4</v>
      </c>
    </row>
    <row r="245" spans="1:40" x14ac:dyDescent="0.25">
      <c r="A245" t="s">
        <v>30</v>
      </c>
      <c r="B245">
        <v>2019</v>
      </c>
      <c r="C245" t="s">
        <v>44</v>
      </c>
      <c r="D245" t="s">
        <v>191</v>
      </c>
      <c r="E245">
        <v>141.80000000000001</v>
      </c>
      <c r="F245">
        <v>163.69999999999999</v>
      </c>
      <c r="G245">
        <v>143.80000000000001</v>
      </c>
      <c r="H245">
        <v>147.1</v>
      </c>
      <c r="I245">
        <v>126</v>
      </c>
      <c r="J245">
        <v>146.19999999999999</v>
      </c>
      <c r="K245">
        <v>191.4</v>
      </c>
      <c r="L245">
        <v>136.19999999999999</v>
      </c>
      <c r="M245">
        <v>113.8</v>
      </c>
      <c r="N245">
        <v>147.30000000000001</v>
      </c>
      <c r="O245">
        <v>138.69999999999999</v>
      </c>
      <c r="P245">
        <v>157.69999999999999</v>
      </c>
      <c r="Q245">
        <v>150.9</v>
      </c>
      <c r="R245">
        <v>167.2</v>
      </c>
      <c r="S245">
        <v>152.30000000000001</v>
      </c>
      <c r="T245">
        <v>147</v>
      </c>
      <c r="U245">
        <v>151.5</v>
      </c>
      <c r="V245" t="s">
        <v>47</v>
      </c>
      <c r="W245">
        <v>153.5</v>
      </c>
      <c r="X245">
        <v>148.4</v>
      </c>
      <c r="Y245">
        <v>150.9</v>
      </c>
      <c r="Z245">
        <v>154.30000000000001</v>
      </c>
      <c r="AA245">
        <v>132.1</v>
      </c>
      <c r="AB245">
        <v>149.1</v>
      </c>
      <c r="AC245">
        <v>160.80000000000001</v>
      </c>
      <c r="AD245">
        <v>140.6</v>
      </c>
      <c r="AE245">
        <v>146.1</v>
      </c>
      <c r="AF245">
        <v>149.9</v>
      </c>
      <c r="AG245">
        <v>1904.6000000000001</v>
      </c>
      <c r="AH245">
        <v>167.2</v>
      </c>
      <c r="AI245">
        <v>299.3</v>
      </c>
      <c r="AJ245">
        <v>739.5</v>
      </c>
      <c r="AK245">
        <v>154.30000000000001</v>
      </c>
      <c r="AL245">
        <v>132.1</v>
      </c>
      <c r="AM245">
        <v>149.1</v>
      </c>
      <c r="AN245">
        <v>160.80000000000001</v>
      </c>
    </row>
    <row r="246" spans="1:40" x14ac:dyDescent="0.25">
      <c r="A246" t="s">
        <v>32</v>
      </c>
      <c r="B246">
        <v>2019</v>
      </c>
      <c r="C246" t="s">
        <v>44</v>
      </c>
      <c r="D246" t="s">
        <v>191</v>
      </c>
      <c r="E246">
        <v>144.1</v>
      </c>
      <c r="F246">
        <v>162.4</v>
      </c>
      <c r="G246">
        <v>148.4</v>
      </c>
      <c r="H246">
        <v>145.9</v>
      </c>
      <c r="I246">
        <v>121.5</v>
      </c>
      <c r="J246">
        <v>148.80000000000001</v>
      </c>
      <c r="K246">
        <v>215.7</v>
      </c>
      <c r="L246">
        <v>134.6</v>
      </c>
      <c r="M246">
        <v>115</v>
      </c>
      <c r="N246">
        <v>146.30000000000001</v>
      </c>
      <c r="O246">
        <v>130.5</v>
      </c>
      <c r="P246">
        <v>157.19999999999999</v>
      </c>
      <c r="Q246">
        <v>153.6</v>
      </c>
      <c r="R246">
        <v>169.9</v>
      </c>
      <c r="S246">
        <v>146.30000000000001</v>
      </c>
      <c r="T246">
        <v>132.6</v>
      </c>
      <c r="U246">
        <v>144.19999999999999</v>
      </c>
      <c r="V246">
        <v>153.5</v>
      </c>
      <c r="W246">
        <v>153.5</v>
      </c>
      <c r="X246">
        <v>132.19999999999999</v>
      </c>
      <c r="Y246">
        <v>139.1</v>
      </c>
      <c r="Z246">
        <v>142.80000000000001</v>
      </c>
      <c r="AA246">
        <v>121.7</v>
      </c>
      <c r="AB246">
        <v>136.69999999999999</v>
      </c>
      <c r="AC246">
        <v>151.80000000000001</v>
      </c>
      <c r="AD246">
        <v>139.80000000000001</v>
      </c>
      <c r="AE246">
        <v>136.30000000000001</v>
      </c>
      <c r="AF246">
        <v>147</v>
      </c>
      <c r="AG246">
        <v>1923.9999999999998</v>
      </c>
      <c r="AH246">
        <v>169.9</v>
      </c>
      <c r="AI246">
        <v>278.89999999999998</v>
      </c>
      <c r="AJ246">
        <v>700.89999999999986</v>
      </c>
      <c r="AK246">
        <v>142.80000000000001</v>
      </c>
      <c r="AL246">
        <v>121.7</v>
      </c>
      <c r="AM246">
        <v>136.69999999999999</v>
      </c>
      <c r="AN246">
        <v>151.80000000000001</v>
      </c>
    </row>
    <row r="247" spans="1:40" x14ac:dyDescent="0.25">
      <c r="A247" t="s">
        <v>33</v>
      </c>
      <c r="B247">
        <v>2019</v>
      </c>
      <c r="C247" t="s">
        <v>44</v>
      </c>
      <c r="D247" t="s">
        <v>191</v>
      </c>
      <c r="E247">
        <v>142.5</v>
      </c>
      <c r="F247">
        <v>163.19999999999999</v>
      </c>
      <c r="G247">
        <v>145.6</v>
      </c>
      <c r="H247">
        <v>146.69999999999999</v>
      </c>
      <c r="I247">
        <v>124.3</v>
      </c>
      <c r="J247">
        <v>147.4</v>
      </c>
      <c r="K247">
        <v>199.6</v>
      </c>
      <c r="L247">
        <v>135.69999999999999</v>
      </c>
      <c r="M247">
        <v>114.2</v>
      </c>
      <c r="N247">
        <v>147</v>
      </c>
      <c r="O247">
        <v>135.30000000000001</v>
      </c>
      <c r="P247">
        <v>157.5</v>
      </c>
      <c r="Q247">
        <v>151.9</v>
      </c>
      <c r="R247">
        <v>167.9</v>
      </c>
      <c r="S247">
        <v>149.9</v>
      </c>
      <c r="T247">
        <v>141</v>
      </c>
      <c r="U247">
        <v>148.6</v>
      </c>
      <c r="V247">
        <v>153.5</v>
      </c>
      <c r="W247">
        <v>153.5</v>
      </c>
      <c r="X247">
        <v>142.30000000000001</v>
      </c>
      <c r="Y247">
        <v>145.30000000000001</v>
      </c>
      <c r="Z247">
        <v>149.9</v>
      </c>
      <c r="AA247">
        <v>126.6</v>
      </c>
      <c r="AB247">
        <v>142.1</v>
      </c>
      <c r="AC247">
        <v>155.5</v>
      </c>
      <c r="AD247">
        <v>140.30000000000001</v>
      </c>
      <c r="AE247">
        <v>141.30000000000001</v>
      </c>
      <c r="AF247">
        <v>148.6</v>
      </c>
      <c r="AG247">
        <v>1910.9</v>
      </c>
      <c r="AH247">
        <v>167.9</v>
      </c>
      <c r="AI247">
        <v>290.89999999999998</v>
      </c>
      <c r="AJ247">
        <v>722.7</v>
      </c>
      <c r="AK247">
        <v>149.9</v>
      </c>
      <c r="AL247">
        <v>126.6</v>
      </c>
      <c r="AM247">
        <v>142.1</v>
      </c>
      <c r="AN247">
        <v>155.5</v>
      </c>
    </row>
    <row r="248" spans="1:40" x14ac:dyDescent="0.25">
      <c r="A248" t="s">
        <v>30</v>
      </c>
      <c r="B248">
        <v>2019</v>
      </c>
      <c r="C248" t="s">
        <v>45</v>
      </c>
      <c r="D248" t="s">
        <v>184</v>
      </c>
      <c r="E248">
        <v>142.80000000000001</v>
      </c>
      <c r="F248">
        <v>165.3</v>
      </c>
      <c r="G248">
        <v>149.5</v>
      </c>
      <c r="H248">
        <v>148.69999999999999</v>
      </c>
      <c r="I248">
        <v>127.5</v>
      </c>
      <c r="J248">
        <v>144.30000000000001</v>
      </c>
      <c r="K248">
        <v>209.5</v>
      </c>
      <c r="L248">
        <v>138.80000000000001</v>
      </c>
      <c r="M248">
        <v>113.6</v>
      </c>
      <c r="N248">
        <v>149.1</v>
      </c>
      <c r="O248">
        <v>139.30000000000001</v>
      </c>
      <c r="P248">
        <v>158.30000000000001</v>
      </c>
      <c r="Q248">
        <v>154.30000000000001</v>
      </c>
      <c r="R248">
        <v>167.8</v>
      </c>
      <c r="S248">
        <v>152.6</v>
      </c>
      <c r="T248">
        <v>147.30000000000001</v>
      </c>
      <c r="U248">
        <v>151.9</v>
      </c>
      <c r="V248" t="s">
        <v>47</v>
      </c>
      <c r="W248">
        <v>152.80000000000001</v>
      </c>
      <c r="X248">
        <v>149.9</v>
      </c>
      <c r="Y248">
        <v>151.19999999999999</v>
      </c>
      <c r="Z248">
        <v>154.80000000000001</v>
      </c>
      <c r="AA248">
        <v>135</v>
      </c>
      <c r="AB248">
        <v>149.5</v>
      </c>
      <c r="AC248">
        <v>161.1</v>
      </c>
      <c r="AD248">
        <v>140.6</v>
      </c>
      <c r="AE248">
        <v>147.1</v>
      </c>
      <c r="AF248">
        <v>152.30000000000001</v>
      </c>
      <c r="AG248">
        <v>1940.9999999999995</v>
      </c>
      <c r="AH248">
        <v>167.8</v>
      </c>
      <c r="AI248">
        <v>299.89999999999998</v>
      </c>
      <c r="AJ248">
        <v>741.6</v>
      </c>
      <c r="AK248">
        <v>154.80000000000001</v>
      </c>
      <c r="AL248">
        <v>135</v>
      </c>
      <c r="AM248">
        <v>149.5</v>
      </c>
      <c r="AN248">
        <v>161.1</v>
      </c>
    </row>
    <row r="249" spans="1:40" x14ac:dyDescent="0.25">
      <c r="A249" t="s">
        <v>32</v>
      </c>
      <c r="B249">
        <v>2019</v>
      </c>
      <c r="C249" t="s">
        <v>45</v>
      </c>
      <c r="D249" t="s">
        <v>184</v>
      </c>
      <c r="E249">
        <v>144.9</v>
      </c>
      <c r="F249">
        <v>164.5</v>
      </c>
      <c r="G249">
        <v>153.69999999999999</v>
      </c>
      <c r="H249">
        <v>147.5</v>
      </c>
      <c r="I249">
        <v>122.7</v>
      </c>
      <c r="J249">
        <v>147.19999999999999</v>
      </c>
      <c r="K249">
        <v>231.5</v>
      </c>
      <c r="L249">
        <v>137.19999999999999</v>
      </c>
      <c r="M249">
        <v>114.7</v>
      </c>
      <c r="N249">
        <v>148</v>
      </c>
      <c r="O249">
        <v>130.80000000000001</v>
      </c>
      <c r="P249">
        <v>157.69999999999999</v>
      </c>
      <c r="Q249">
        <v>156.30000000000001</v>
      </c>
      <c r="R249">
        <v>170.4</v>
      </c>
      <c r="S249">
        <v>146.80000000000001</v>
      </c>
      <c r="T249">
        <v>132.80000000000001</v>
      </c>
      <c r="U249">
        <v>144.6</v>
      </c>
      <c r="V249">
        <v>152.80000000000001</v>
      </c>
      <c r="W249">
        <v>152.80000000000001</v>
      </c>
      <c r="X249">
        <v>133.6</v>
      </c>
      <c r="Y249">
        <v>139.80000000000001</v>
      </c>
      <c r="Z249">
        <v>143.19999999999999</v>
      </c>
      <c r="AA249">
        <v>125.2</v>
      </c>
      <c r="AB249">
        <v>136.80000000000001</v>
      </c>
      <c r="AC249">
        <v>151.9</v>
      </c>
      <c r="AD249">
        <v>140.19999999999999</v>
      </c>
      <c r="AE249">
        <v>137.69999999999999</v>
      </c>
      <c r="AF249">
        <v>148.30000000000001</v>
      </c>
      <c r="AG249">
        <v>1956.7</v>
      </c>
      <c r="AH249">
        <v>170.4</v>
      </c>
      <c r="AI249">
        <v>279.60000000000002</v>
      </c>
      <c r="AJ249">
        <v>704.09999999999991</v>
      </c>
      <c r="AK249">
        <v>143.19999999999999</v>
      </c>
      <c r="AL249">
        <v>125.2</v>
      </c>
      <c r="AM249">
        <v>136.80000000000001</v>
      </c>
      <c r="AN249">
        <v>151.9</v>
      </c>
    </row>
    <row r="250" spans="1:40" x14ac:dyDescent="0.25">
      <c r="A250" t="s">
        <v>33</v>
      </c>
      <c r="B250">
        <v>2019</v>
      </c>
      <c r="C250" t="s">
        <v>45</v>
      </c>
      <c r="D250" t="s">
        <v>184</v>
      </c>
      <c r="E250">
        <v>143.5</v>
      </c>
      <c r="F250">
        <v>165</v>
      </c>
      <c r="G250">
        <v>151.1</v>
      </c>
      <c r="H250">
        <v>148.30000000000001</v>
      </c>
      <c r="I250">
        <v>125.7</v>
      </c>
      <c r="J250">
        <v>145.69999999999999</v>
      </c>
      <c r="K250">
        <v>217</v>
      </c>
      <c r="L250">
        <v>138.30000000000001</v>
      </c>
      <c r="M250">
        <v>114</v>
      </c>
      <c r="N250">
        <v>148.69999999999999</v>
      </c>
      <c r="O250">
        <v>135.80000000000001</v>
      </c>
      <c r="P250">
        <v>158</v>
      </c>
      <c r="Q250">
        <v>155</v>
      </c>
      <c r="R250">
        <v>168.5</v>
      </c>
      <c r="S250">
        <v>150.30000000000001</v>
      </c>
      <c r="T250">
        <v>141.30000000000001</v>
      </c>
      <c r="U250">
        <v>149</v>
      </c>
      <c r="V250">
        <v>152.80000000000001</v>
      </c>
      <c r="W250">
        <v>152.80000000000001</v>
      </c>
      <c r="X250">
        <v>143.69999999999999</v>
      </c>
      <c r="Y250">
        <v>145.80000000000001</v>
      </c>
      <c r="Z250">
        <v>150.4</v>
      </c>
      <c r="AA250">
        <v>129.80000000000001</v>
      </c>
      <c r="AB250">
        <v>142.30000000000001</v>
      </c>
      <c r="AC250">
        <v>155.69999999999999</v>
      </c>
      <c r="AD250">
        <v>140.4</v>
      </c>
      <c r="AE250">
        <v>142.5</v>
      </c>
      <c r="AF250">
        <v>150.4</v>
      </c>
      <c r="AG250">
        <v>1946.1000000000001</v>
      </c>
      <c r="AH250">
        <v>168.5</v>
      </c>
      <c r="AI250">
        <v>291.60000000000002</v>
      </c>
      <c r="AJ250">
        <v>725.2</v>
      </c>
      <c r="AK250">
        <v>150.4</v>
      </c>
      <c r="AL250">
        <v>129.80000000000001</v>
      </c>
      <c r="AM250">
        <v>142.30000000000001</v>
      </c>
      <c r="AN250">
        <v>155.69999999999999</v>
      </c>
    </row>
    <row r="251" spans="1:40" x14ac:dyDescent="0.25">
      <c r="A251" t="s">
        <v>30</v>
      </c>
      <c r="B251">
        <v>2020</v>
      </c>
      <c r="C251" t="s">
        <v>31</v>
      </c>
      <c r="D251" t="s">
        <v>198</v>
      </c>
      <c r="E251">
        <v>143.69999999999999</v>
      </c>
      <c r="F251">
        <v>167.3</v>
      </c>
      <c r="G251">
        <v>153.5</v>
      </c>
      <c r="H251">
        <v>150.5</v>
      </c>
      <c r="I251">
        <v>132</v>
      </c>
      <c r="J251">
        <v>142.19999999999999</v>
      </c>
      <c r="K251">
        <v>191.5</v>
      </c>
      <c r="L251">
        <v>141.1</v>
      </c>
      <c r="M251">
        <v>113.8</v>
      </c>
      <c r="N251">
        <v>151.6</v>
      </c>
      <c r="O251">
        <v>139.69999999999999</v>
      </c>
      <c r="P251">
        <v>158.69999999999999</v>
      </c>
      <c r="Q251">
        <v>153</v>
      </c>
      <c r="R251">
        <v>168.6</v>
      </c>
      <c r="S251">
        <v>152.80000000000001</v>
      </c>
      <c r="T251">
        <v>147.4</v>
      </c>
      <c r="U251">
        <v>152.1</v>
      </c>
      <c r="V251" t="s">
        <v>47</v>
      </c>
      <c r="W251">
        <v>153.9</v>
      </c>
      <c r="X251">
        <v>150.4</v>
      </c>
      <c r="Y251">
        <v>151.69999999999999</v>
      </c>
      <c r="Z251">
        <v>155.69999999999999</v>
      </c>
      <c r="AA251">
        <v>136.30000000000001</v>
      </c>
      <c r="AB251">
        <v>150.1</v>
      </c>
      <c r="AC251">
        <v>161.69999999999999</v>
      </c>
      <c r="AD251">
        <v>142.5</v>
      </c>
      <c r="AE251">
        <v>148.1</v>
      </c>
      <c r="AF251">
        <v>151.9</v>
      </c>
      <c r="AG251">
        <v>1938.6</v>
      </c>
      <c r="AH251">
        <v>168.6</v>
      </c>
      <c r="AI251">
        <v>300.20000000000005</v>
      </c>
      <c r="AJ251">
        <v>746.6</v>
      </c>
      <c r="AK251">
        <v>155.69999999999999</v>
      </c>
      <c r="AL251">
        <v>136.30000000000001</v>
      </c>
      <c r="AM251">
        <v>150.1</v>
      </c>
      <c r="AN251">
        <v>161.69999999999999</v>
      </c>
    </row>
    <row r="252" spans="1:40" x14ac:dyDescent="0.25">
      <c r="A252" t="s">
        <v>32</v>
      </c>
      <c r="B252">
        <v>2020</v>
      </c>
      <c r="C252" t="s">
        <v>31</v>
      </c>
      <c r="D252" t="s">
        <v>198</v>
      </c>
      <c r="E252">
        <v>145.6</v>
      </c>
      <c r="F252">
        <v>167.6</v>
      </c>
      <c r="G252">
        <v>157</v>
      </c>
      <c r="H252">
        <v>149.30000000000001</v>
      </c>
      <c r="I252">
        <v>126.3</v>
      </c>
      <c r="J252">
        <v>144.4</v>
      </c>
      <c r="K252">
        <v>207.8</v>
      </c>
      <c r="L252">
        <v>139.1</v>
      </c>
      <c r="M252">
        <v>114.8</v>
      </c>
      <c r="N252">
        <v>149.5</v>
      </c>
      <c r="O252">
        <v>131.1</v>
      </c>
      <c r="P252">
        <v>158.5</v>
      </c>
      <c r="Q252">
        <v>154.4</v>
      </c>
      <c r="R252">
        <v>170.8</v>
      </c>
      <c r="S252">
        <v>147</v>
      </c>
      <c r="T252">
        <v>133.19999999999999</v>
      </c>
      <c r="U252">
        <v>144.9</v>
      </c>
      <c r="V252">
        <v>153.9</v>
      </c>
      <c r="W252">
        <v>153.9</v>
      </c>
      <c r="X252">
        <v>135.1</v>
      </c>
      <c r="Y252">
        <v>140.1</v>
      </c>
      <c r="Z252">
        <v>143.80000000000001</v>
      </c>
      <c r="AA252">
        <v>126.1</v>
      </c>
      <c r="AB252">
        <v>137.19999999999999</v>
      </c>
      <c r="AC252">
        <v>152.1</v>
      </c>
      <c r="AD252">
        <v>142.1</v>
      </c>
      <c r="AE252">
        <v>138.4</v>
      </c>
      <c r="AF252">
        <v>148.19999999999999</v>
      </c>
      <c r="AG252">
        <v>1945.3999999999999</v>
      </c>
      <c r="AH252">
        <v>170.8</v>
      </c>
      <c r="AI252">
        <v>280.2</v>
      </c>
      <c r="AJ252">
        <v>709.6</v>
      </c>
      <c r="AK252">
        <v>143.80000000000001</v>
      </c>
      <c r="AL252">
        <v>126.1</v>
      </c>
      <c r="AM252">
        <v>137.19999999999999</v>
      </c>
      <c r="AN252">
        <v>152.1</v>
      </c>
    </row>
    <row r="253" spans="1:40" x14ac:dyDescent="0.25">
      <c r="A253" t="s">
        <v>33</v>
      </c>
      <c r="B253">
        <v>2020</v>
      </c>
      <c r="C253" t="s">
        <v>31</v>
      </c>
      <c r="D253" t="s">
        <v>198</v>
      </c>
      <c r="E253">
        <v>144.30000000000001</v>
      </c>
      <c r="F253">
        <v>167.4</v>
      </c>
      <c r="G253">
        <v>154.9</v>
      </c>
      <c r="H253">
        <v>150.1</v>
      </c>
      <c r="I253">
        <v>129.9</v>
      </c>
      <c r="J253">
        <v>143.19999999999999</v>
      </c>
      <c r="K253">
        <v>197</v>
      </c>
      <c r="L253">
        <v>140.4</v>
      </c>
      <c r="M253">
        <v>114.1</v>
      </c>
      <c r="N253">
        <v>150.9</v>
      </c>
      <c r="O253">
        <v>136.1</v>
      </c>
      <c r="P253">
        <v>158.6</v>
      </c>
      <c r="Q253">
        <v>153.5</v>
      </c>
      <c r="R253">
        <v>169.2</v>
      </c>
      <c r="S253">
        <v>150.5</v>
      </c>
      <c r="T253">
        <v>141.5</v>
      </c>
      <c r="U253">
        <v>149.19999999999999</v>
      </c>
      <c r="V253">
        <v>153.9</v>
      </c>
      <c r="W253">
        <v>153.9</v>
      </c>
      <c r="X253">
        <v>144.6</v>
      </c>
      <c r="Y253">
        <v>146.19999999999999</v>
      </c>
      <c r="Z253">
        <v>151.19999999999999</v>
      </c>
      <c r="AA253">
        <v>130.9</v>
      </c>
      <c r="AB253">
        <v>142.80000000000001</v>
      </c>
      <c r="AC253">
        <v>156.1</v>
      </c>
      <c r="AD253">
        <v>142.30000000000001</v>
      </c>
      <c r="AE253">
        <v>143.4</v>
      </c>
      <c r="AF253">
        <v>150.19999999999999</v>
      </c>
      <c r="AG253">
        <v>1940.3999999999999</v>
      </c>
      <c r="AH253">
        <v>169.2</v>
      </c>
      <c r="AI253">
        <v>292</v>
      </c>
      <c r="AJ253">
        <v>730.4</v>
      </c>
      <c r="AK253">
        <v>151.19999999999999</v>
      </c>
      <c r="AL253">
        <v>130.9</v>
      </c>
      <c r="AM253">
        <v>142.80000000000001</v>
      </c>
      <c r="AN253">
        <v>156.1</v>
      </c>
    </row>
    <row r="254" spans="1:40" x14ac:dyDescent="0.25">
      <c r="A254" t="s">
        <v>30</v>
      </c>
      <c r="B254">
        <v>2020</v>
      </c>
      <c r="C254" t="s">
        <v>34</v>
      </c>
      <c r="D254" t="s">
        <v>197</v>
      </c>
      <c r="E254">
        <v>144.19999999999999</v>
      </c>
      <c r="F254">
        <v>167.5</v>
      </c>
      <c r="G254">
        <v>150.9</v>
      </c>
      <c r="H254">
        <v>150.9</v>
      </c>
      <c r="I254">
        <v>133.69999999999999</v>
      </c>
      <c r="J254">
        <v>140.69999999999999</v>
      </c>
      <c r="K254">
        <v>165.1</v>
      </c>
      <c r="L254">
        <v>141.80000000000001</v>
      </c>
      <c r="M254">
        <v>113.1</v>
      </c>
      <c r="N254">
        <v>152.80000000000001</v>
      </c>
      <c r="O254">
        <v>140.1</v>
      </c>
      <c r="P254">
        <v>159.19999999999999</v>
      </c>
      <c r="Q254">
        <v>149.80000000000001</v>
      </c>
      <c r="R254">
        <v>169.4</v>
      </c>
      <c r="S254">
        <v>153</v>
      </c>
      <c r="T254">
        <v>147.5</v>
      </c>
      <c r="U254">
        <v>152.30000000000001</v>
      </c>
      <c r="V254" t="s">
        <v>47</v>
      </c>
      <c r="W254">
        <v>154.80000000000001</v>
      </c>
      <c r="X254">
        <v>152.30000000000001</v>
      </c>
      <c r="Y254">
        <v>151.80000000000001</v>
      </c>
      <c r="Z254">
        <v>156.19999999999999</v>
      </c>
      <c r="AA254">
        <v>136</v>
      </c>
      <c r="AB254">
        <v>150.4</v>
      </c>
      <c r="AC254">
        <v>161.9</v>
      </c>
      <c r="AD254">
        <v>143.4</v>
      </c>
      <c r="AE254">
        <v>148.4</v>
      </c>
      <c r="AF254">
        <v>150.4</v>
      </c>
      <c r="AG254">
        <v>1909.7999999999997</v>
      </c>
      <c r="AH254">
        <v>169.4</v>
      </c>
      <c r="AI254">
        <v>300.5</v>
      </c>
      <c r="AJ254">
        <v>750.7</v>
      </c>
      <c r="AK254">
        <v>156.19999999999999</v>
      </c>
      <c r="AL254">
        <v>136</v>
      </c>
      <c r="AM254">
        <v>150.4</v>
      </c>
      <c r="AN254">
        <v>161.9</v>
      </c>
    </row>
    <row r="255" spans="1:40" x14ac:dyDescent="0.25">
      <c r="A255" t="s">
        <v>32</v>
      </c>
      <c r="B255">
        <v>2020</v>
      </c>
      <c r="C255" t="s">
        <v>34</v>
      </c>
      <c r="D255" t="s">
        <v>197</v>
      </c>
      <c r="E255">
        <v>146.19999999999999</v>
      </c>
      <c r="F255">
        <v>167.6</v>
      </c>
      <c r="G255">
        <v>153.1</v>
      </c>
      <c r="H255">
        <v>150.69999999999999</v>
      </c>
      <c r="I255">
        <v>127.4</v>
      </c>
      <c r="J255">
        <v>143.1</v>
      </c>
      <c r="K255">
        <v>181.7</v>
      </c>
      <c r="L255">
        <v>139.6</v>
      </c>
      <c r="M255">
        <v>114.6</v>
      </c>
      <c r="N255">
        <v>150.4</v>
      </c>
      <c r="O255">
        <v>131.5</v>
      </c>
      <c r="P255">
        <v>159</v>
      </c>
      <c r="Q255">
        <v>151.69999999999999</v>
      </c>
      <c r="R255">
        <v>172</v>
      </c>
      <c r="S255">
        <v>147.30000000000001</v>
      </c>
      <c r="T255">
        <v>133.5</v>
      </c>
      <c r="U255">
        <v>145.19999999999999</v>
      </c>
      <c r="V255">
        <v>154.80000000000001</v>
      </c>
      <c r="W255">
        <v>154.80000000000001</v>
      </c>
      <c r="X255">
        <v>138.9</v>
      </c>
      <c r="Y255">
        <v>140.4</v>
      </c>
      <c r="Z255">
        <v>144.4</v>
      </c>
      <c r="AA255">
        <v>125.2</v>
      </c>
      <c r="AB255">
        <v>137.69999999999999</v>
      </c>
      <c r="AC255">
        <v>152.19999999999999</v>
      </c>
      <c r="AD255">
        <v>143.5</v>
      </c>
      <c r="AE255">
        <v>138.4</v>
      </c>
      <c r="AF255">
        <v>147.69999999999999</v>
      </c>
      <c r="AG255">
        <v>1916.6</v>
      </c>
      <c r="AH255">
        <v>172</v>
      </c>
      <c r="AI255">
        <v>280.8</v>
      </c>
      <c r="AJ255">
        <v>716</v>
      </c>
      <c r="AK255">
        <v>144.4</v>
      </c>
      <c r="AL255">
        <v>125.2</v>
      </c>
      <c r="AM255">
        <v>137.69999999999999</v>
      </c>
      <c r="AN255">
        <v>152.19999999999999</v>
      </c>
    </row>
    <row r="256" spans="1:40" x14ac:dyDescent="0.25">
      <c r="A256" t="s">
        <v>33</v>
      </c>
      <c r="B256">
        <v>2020</v>
      </c>
      <c r="C256" t="s">
        <v>34</v>
      </c>
      <c r="D256" t="s">
        <v>197</v>
      </c>
      <c r="E256">
        <v>144.80000000000001</v>
      </c>
      <c r="F256">
        <v>167.5</v>
      </c>
      <c r="G256">
        <v>151.80000000000001</v>
      </c>
      <c r="H256">
        <v>150.80000000000001</v>
      </c>
      <c r="I256">
        <v>131.4</v>
      </c>
      <c r="J256">
        <v>141.80000000000001</v>
      </c>
      <c r="K256">
        <v>170.7</v>
      </c>
      <c r="L256">
        <v>141.1</v>
      </c>
      <c r="M256">
        <v>113.6</v>
      </c>
      <c r="N256">
        <v>152</v>
      </c>
      <c r="O256">
        <v>136.5</v>
      </c>
      <c r="P256">
        <v>159.1</v>
      </c>
      <c r="Q256">
        <v>150.5</v>
      </c>
      <c r="R256">
        <v>170.1</v>
      </c>
      <c r="S256">
        <v>150.80000000000001</v>
      </c>
      <c r="T256">
        <v>141.69999999999999</v>
      </c>
      <c r="U256">
        <v>149.5</v>
      </c>
      <c r="V256">
        <v>154.80000000000001</v>
      </c>
      <c r="W256">
        <v>154.80000000000001</v>
      </c>
      <c r="X256">
        <v>147.19999999999999</v>
      </c>
      <c r="Y256">
        <v>146.4</v>
      </c>
      <c r="Z256">
        <v>151.69999999999999</v>
      </c>
      <c r="AA256">
        <v>130.30000000000001</v>
      </c>
      <c r="AB256">
        <v>143.19999999999999</v>
      </c>
      <c r="AC256">
        <v>156.19999999999999</v>
      </c>
      <c r="AD256">
        <v>143.4</v>
      </c>
      <c r="AE256">
        <v>143.6</v>
      </c>
      <c r="AF256">
        <v>149.1</v>
      </c>
      <c r="AG256">
        <v>1911.6</v>
      </c>
      <c r="AH256">
        <v>170.1</v>
      </c>
      <c r="AI256">
        <v>292.5</v>
      </c>
      <c r="AJ256">
        <v>735.4</v>
      </c>
      <c r="AK256">
        <v>151.69999999999999</v>
      </c>
      <c r="AL256">
        <v>130.30000000000001</v>
      </c>
      <c r="AM256">
        <v>143.19999999999999</v>
      </c>
      <c r="AN256">
        <v>156.19999999999999</v>
      </c>
    </row>
    <row r="257" spans="1:40" x14ac:dyDescent="0.25">
      <c r="A257" t="s">
        <v>30</v>
      </c>
      <c r="B257">
        <v>2020</v>
      </c>
      <c r="C257" t="s">
        <v>35</v>
      </c>
      <c r="D257" t="s">
        <v>201</v>
      </c>
      <c r="E257">
        <v>144.4</v>
      </c>
      <c r="F257">
        <v>166.8</v>
      </c>
      <c r="G257">
        <v>147.6</v>
      </c>
      <c r="H257">
        <v>151.69999999999999</v>
      </c>
      <c r="I257">
        <v>133.30000000000001</v>
      </c>
      <c r="J257">
        <v>141.80000000000001</v>
      </c>
      <c r="K257">
        <v>152.30000000000001</v>
      </c>
      <c r="L257">
        <v>141.80000000000001</v>
      </c>
      <c r="M257">
        <v>112.6</v>
      </c>
      <c r="N257">
        <v>154</v>
      </c>
      <c r="O257">
        <v>140.1</v>
      </c>
      <c r="P257">
        <v>160</v>
      </c>
      <c r="Q257">
        <v>148.19999999999999</v>
      </c>
      <c r="R257">
        <v>170.5</v>
      </c>
      <c r="S257">
        <v>153.4</v>
      </c>
      <c r="T257">
        <v>147.6</v>
      </c>
      <c r="U257">
        <v>152.5</v>
      </c>
      <c r="V257" t="s">
        <v>47</v>
      </c>
      <c r="W257">
        <v>154.5</v>
      </c>
      <c r="X257">
        <v>153.4</v>
      </c>
      <c r="Y257">
        <v>151.5</v>
      </c>
      <c r="Z257">
        <v>156.69999999999999</v>
      </c>
      <c r="AA257">
        <v>135.80000000000001</v>
      </c>
      <c r="AB257">
        <v>151.19999999999999</v>
      </c>
      <c r="AC257">
        <v>161.19999999999999</v>
      </c>
      <c r="AD257">
        <v>145.1</v>
      </c>
      <c r="AE257">
        <v>148.6</v>
      </c>
      <c r="AF257">
        <v>149.80000000000001</v>
      </c>
      <c r="AG257">
        <v>1894.5999999999997</v>
      </c>
      <c r="AH257">
        <v>170.5</v>
      </c>
      <c r="AI257">
        <v>301</v>
      </c>
      <c r="AJ257">
        <v>753.1</v>
      </c>
      <c r="AK257">
        <v>156.69999999999999</v>
      </c>
      <c r="AL257">
        <v>135.80000000000001</v>
      </c>
      <c r="AM257">
        <v>151.19999999999999</v>
      </c>
      <c r="AN257">
        <v>161.19999999999999</v>
      </c>
    </row>
    <row r="258" spans="1:40" x14ac:dyDescent="0.25">
      <c r="A258" t="s">
        <v>32</v>
      </c>
      <c r="B258">
        <v>2020</v>
      </c>
      <c r="C258" t="s">
        <v>35</v>
      </c>
      <c r="D258" t="s">
        <v>201</v>
      </c>
      <c r="E258">
        <v>146.5</v>
      </c>
      <c r="F258">
        <v>167.5</v>
      </c>
      <c r="G258">
        <v>148.9</v>
      </c>
      <c r="H258">
        <v>151.1</v>
      </c>
      <c r="I258">
        <v>127.5</v>
      </c>
      <c r="J258">
        <v>143.30000000000001</v>
      </c>
      <c r="K258">
        <v>167</v>
      </c>
      <c r="L258">
        <v>139.69999999999999</v>
      </c>
      <c r="M258">
        <v>114.4</v>
      </c>
      <c r="N258">
        <v>151.5</v>
      </c>
      <c r="O258">
        <v>131.9</v>
      </c>
      <c r="P258">
        <v>159.1</v>
      </c>
      <c r="Q258">
        <v>150.1</v>
      </c>
      <c r="R258">
        <v>173.3</v>
      </c>
      <c r="S258">
        <v>147.69999999999999</v>
      </c>
      <c r="T258">
        <v>133.80000000000001</v>
      </c>
      <c r="U258">
        <v>145.6</v>
      </c>
      <c r="V258">
        <v>154.5</v>
      </c>
      <c r="W258">
        <v>154.5</v>
      </c>
      <c r="X258">
        <v>141.4</v>
      </c>
      <c r="Y258">
        <v>140.80000000000001</v>
      </c>
      <c r="Z258">
        <v>145</v>
      </c>
      <c r="AA258">
        <v>124.6</v>
      </c>
      <c r="AB258">
        <v>137.9</v>
      </c>
      <c r="AC258">
        <v>152.5</v>
      </c>
      <c r="AD258">
        <v>145.30000000000001</v>
      </c>
      <c r="AE258">
        <v>138.69999999999999</v>
      </c>
      <c r="AF258">
        <v>147.30000000000001</v>
      </c>
      <c r="AG258">
        <v>1898.5</v>
      </c>
      <c r="AH258">
        <v>173.3</v>
      </c>
      <c r="AI258">
        <v>281.5</v>
      </c>
      <c r="AJ258">
        <v>720.7</v>
      </c>
      <c r="AK258">
        <v>145</v>
      </c>
      <c r="AL258">
        <v>124.6</v>
      </c>
      <c r="AM258">
        <v>137.9</v>
      </c>
      <c r="AN258">
        <v>152.5</v>
      </c>
    </row>
    <row r="259" spans="1:40" x14ac:dyDescent="0.25">
      <c r="A259" t="s">
        <v>33</v>
      </c>
      <c r="B259">
        <v>2020</v>
      </c>
      <c r="C259" t="s">
        <v>35</v>
      </c>
      <c r="D259" t="s">
        <v>201</v>
      </c>
      <c r="E259">
        <v>145.1</v>
      </c>
      <c r="F259">
        <v>167</v>
      </c>
      <c r="G259">
        <v>148.1</v>
      </c>
      <c r="H259">
        <v>151.5</v>
      </c>
      <c r="I259">
        <v>131.19999999999999</v>
      </c>
      <c r="J259">
        <v>142.5</v>
      </c>
      <c r="K259">
        <v>157.30000000000001</v>
      </c>
      <c r="L259">
        <v>141.1</v>
      </c>
      <c r="M259">
        <v>113.2</v>
      </c>
      <c r="N259">
        <v>153.19999999999999</v>
      </c>
      <c r="O259">
        <v>136.69999999999999</v>
      </c>
      <c r="P259">
        <v>159.6</v>
      </c>
      <c r="Q259">
        <v>148.9</v>
      </c>
      <c r="R259">
        <v>171.2</v>
      </c>
      <c r="S259">
        <v>151.19999999999999</v>
      </c>
      <c r="T259">
        <v>141.9</v>
      </c>
      <c r="U259">
        <v>149.80000000000001</v>
      </c>
      <c r="V259">
        <v>154.5</v>
      </c>
      <c r="W259">
        <v>154.5</v>
      </c>
      <c r="X259">
        <v>148.9</v>
      </c>
      <c r="Y259">
        <v>146.4</v>
      </c>
      <c r="Z259">
        <v>152.30000000000001</v>
      </c>
      <c r="AA259">
        <v>129.9</v>
      </c>
      <c r="AB259">
        <v>143.69999999999999</v>
      </c>
      <c r="AC259">
        <v>156.1</v>
      </c>
      <c r="AD259">
        <v>145.19999999999999</v>
      </c>
      <c r="AE259">
        <v>143.80000000000001</v>
      </c>
      <c r="AF259">
        <v>148.6</v>
      </c>
      <c r="AG259">
        <v>1895.4</v>
      </c>
      <c r="AH259">
        <v>171.2</v>
      </c>
      <c r="AI259">
        <v>293.10000000000002</v>
      </c>
      <c r="AJ259">
        <v>738.8</v>
      </c>
      <c r="AK259">
        <v>152.30000000000001</v>
      </c>
      <c r="AL259">
        <v>129.9</v>
      </c>
      <c r="AM259">
        <v>143.69999999999999</v>
      </c>
      <c r="AN259">
        <v>156.1</v>
      </c>
    </row>
    <row r="260" spans="1:40" x14ac:dyDescent="0.25">
      <c r="A260" t="s">
        <v>30</v>
      </c>
      <c r="B260">
        <v>2020</v>
      </c>
      <c r="C260" t="s">
        <v>36</v>
      </c>
      <c r="D260" t="s">
        <v>194</v>
      </c>
      <c r="E260">
        <v>147.19999999999999</v>
      </c>
      <c r="F260" s="4">
        <f>SUM(F258:F259,F266:F267)/4</f>
        <v>180.45</v>
      </c>
      <c r="G260">
        <v>146.9</v>
      </c>
      <c r="H260">
        <v>155.6</v>
      </c>
      <c r="I260">
        <v>137.1</v>
      </c>
      <c r="J260">
        <v>147.30000000000001</v>
      </c>
      <c r="K260">
        <v>162.69999999999999</v>
      </c>
      <c r="L260">
        <v>150.19999999999999</v>
      </c>
      <c r="M260">
        <v>119.8</v>
      </c>
      <c r="N260">
        <v>158.69999999999999</v>
      </c>
      <c r="O260">
        <v>139.19999999999999</v>
      </c>
      <c r="P260" s="4">
        <f>SUM(P258:P259,P266:P267)/4</f>
        <v>160.55000000000001</v>
      </c>
      <c r="Q260">
        <v>150.1</v>
      </c>
      <c r="R260" s="4">
        <f>SUM(R258:R259,R266:R267)/4</f>
        <v>178.39999999999998</v>
      </c>
      <c r="S260" s="4">
        <f>SUM(S258:S259,S266:S267)/4</f>
        <v>150.67499999999998</v>
      </c>
      <c r="T260" s="4">
        <f>SUM(T258:T259,T266:T267)/4</f>
        <v>140.57500000000002</v>
      </c>
      <c r="U260" s="4">
        <f>SUM(U258:U259,U266:U267)/4</f>
        <v>149.17500000000001</v>
      </c>
      <c r="V260" t="s">
        <v>47</v>
      </c>
      <c r="W260">
        <v>155.6</v>
      </c>
      <c r="X260">
        <v>148.4</v>
      </c>
      <c r="Y260" s="4">
        <f>SUM(Y258:Y259,Y266:Y267)/4</f>
        <v>144.82500000000002</v>
      </c>
      <c r="Z260">
        <v>154.30000000000001</v>
      </c>
      <c r="AA260" s="4">
        <f>SUM(AA259,AA266)/2</f>
        <v>135.65</v>
      </c>
      <c r="AB260" s="4">
        <f>SUM(AB258:AB259,AB266:AB267)/4</f>
        <v>144.82499999999999</v>
      </c>
      <c r="AC260" s="4">
        <f>SUM(AC258:AC259,AC266:AC267)/4</f>
        <v>155.72500000000002</v>
      </c>
      <c r="AD260" s="4">
        <f>SUM(AD258:AD259,AD266:AD267)/4</f>
        <v>148.47499999999999</v>
      </c>
      <c r="AE260" s="4">
        <f>SUM(AE258:AE259,AE266:AE267)/4</f>
        <v>144.05000000000001</v>
      </c>
      <c r="AF260" s="4">
        <f>SUM(AF258:AF259,AF266:AF267)/4</f>
        <v>149.85</v>
      </c>
      <c r="AG260">
        <v>1955.8</v>
      </c>
      <c r="AH260" s="4">
        <f>SUM(AH258:AH259,AH266:AH267)/4</f>
        <v>178.39999999999998</v>
      </c>
      <c r="AI260">
        <v>291.25</v>
      </c>
      <c r="AJ260">
        <v>741.35000000000014</v>
      </c>
      <c r="AK260">
        <v>154.30000000000001</v>
      </c>
      <c r="AL260" s="4">
        <f>SUM(AL259,AL266)/2</f>
        <v>135.65</v>
      </c>
      <c r="AM260" s="4">
        <f>SUM(AM258:AM259,AM266:AM267)/4</f>
        <v>144.82499999999999</v>
      </c>
      <c r="AN260" s="4">
        <f>SUM(AN258:AN259,AN266:AN267)/4</f>
        <v>155.72500000000002</v>
      </c>
    </row>
    <row r="261" spans="1:40" x14ac:dyDescent="0.25">
      <c r="A261" t="s">
        <v>32</v>
      </c>
      <c r="B261">
        <v>2020</v>
      </c>
      <c r="C261" t="s">
        <v>36</v>
      </c>
      <c r="D261" t="s">
        <v>194</v>
      </c>
      <c r="E261">
        <v>151.80000000000001</v>
      </c>
      <c r="F261" s="4">
        <f>SUM(F259:F260,F266:F267)/4</f>
        <v>183.6875</v>
      </c>
      <c r="G261">
        <v>151.9</v>
      </c>
      <c r="H261">
        <v>155.5</v>
      </c>
      <c r="I261">
        <v>131.6</v>
      </c>
      <c r="J261">
        <v>152.9</v>
      </c>
      <c r="K261">
        <v>180</v>
      </c>
      <c r="L261">
        <v>150.80000000000001</v>
      </c>
      <c r="M261">
        <v>121.2</v>
      </c>
      <c r="N261">
        <v>154</v>
      </c>
      <c r="O261">
        <v>133.5</v>
      </c>
      <c r="P261" s="4">
        <f>SUM(P259:P260,P266:P267)/4</f>
        <v>160.91249999999999</v>
      </c>
      <c r="Q261">
        <v>153.5</v>
      </c>
      <c r="R261" s="4">
        <f>SUM(R259:R260,R266:R267)/4</f>
        <v>179.67500000000001</v>
      </c>
      <c r="S261" s="4">
        <f>SUM(S259:S260,S266:S267)/4</f>
        <v>151.41874999999999</v>
      </c>
      <c r="T261" s="4">
        <f>SUM(T259:T260,T266:T267)/4</f>
        <v>142.26875000000001</v>
      </c>
      <c r="U261" s="4">
        <f>SUM(U259:U260,U266:U267)/4</f>
        <v>150.06875000000002</v>
      </c>
      <c r="V261">
        <v>155.6</v>
      </c>
      <c r="W261">
        <v>155.6</v>
      </c>
      <c r="X261">
        <v>137.1</v>
      </c>
      <c r="Y261" s="4">
        <f>SUM(Y259:Y260,Y266:Y267)/4</f>
        <v>145.83125000000001</v>
      </c>
      <c r="Z261">
        <v>144.80000000000001</v>
      </c>
      <c r="AA261" s="4">
        <f>SUM(AA260,AA266)/2</f>
        <v>138.52500000000001</v>
      </c>
      <c r="AB261" s="4">
        <f>SUM(AB259:AB260,AB266:AB267)/4</f>
        <v>146.55624999999998</v>
      </c>
      <c r="AC261" s="4">
        <f>SUM(AC259:AC260,AC266:AC267)/4</f>
        <v>156.53125</v>
      </c>
      <c r="AD261" s="4">
        <f>SUM(AD259:AD260,AD266:AD267)/4</f>
        <v>149.26874999999998</v>
      </c>
      <c r="AE261" s="4">
        <f>SUM(AE259:AE260,AE266:AE267)/4</f>
        <v>145.38749999999999</v>
      </c>
      <c r="AF261" s="4">
        <f>SUM(AF259:AF260,AF266:AF267)/4</f>
        <v>150.48750000000001</v>
      </c>
      <c r="AG261">
        <v>1981.3</v>
      </c>
      <c r="AH261" s="4">
        <f>SUM(AH259:AH260,AH266:AH267)/4</f>
        <v>179.67500000000001</v>
      </c>
      <c r="AI261">
        <v>293.6875</v>
      </c>
      <c r="AJ261">
        <v>733.1875</v>
      </c>
      <c r="AK261">
        <v>144.80000000000001</v>
      </c>
      <c r="AL261" s="4">
        <f>SUM(AL260,AL266)/2</f>
        <v>138.52500000000001</v>
      </c>
      <c r="AM261" s="4">
        <f>SUM(AM259:AM260,AM266:AM267)/4</f>
        <v>146.55624999999998</v>
      </c>
      <c r="AN261" s="4">
        <f>SUM(AN259:AN260,AN266:AN267)/4</f>
        <v>156.53125</v>
      </c>
    </row>
    <row r="262" spans="1:40" x14ac:dyDescent="0.25">
      <c r="A262" t="s">
        <v>33</v>
      </c>
      <c r="B262">
        <v>2020</v>
      </c>
      <c r="C262" t="s">
        <v>36</v>
      </c>
      <c r="D262" t="s">
        <v>194</v>
      </c>
      <c r="E262">
        <v>148.69999999999999</v>
      </c>
      <c r="F262" s="4">
        <f>SUM(F260:F261,F266:F267)/4</f>
        <v>187.859375</v>
      </c>
      <c r="G262">
        <v>148.80000000000001</v>
      </c>
      <c r="H262">
        <v>155.6</v>
      </c>
      <c r="I262">
        <v>135.1</v>
      </c>
      <c r="J262">
        <v>149.9</v>
      </c>
      <c r="K262">
        <v>168.6</v>
      </c>
      <c r="L262">
        <v>150.4</v>
      </c>
      <c r="M262">
        <v>120.3</v>
      </c>
      <c r="N262">
        <v>157.1</v>
      </c>
      <c r="O262">
        <v>136.80000000000001</v>
      </c>
      <c r="P262" s="4">
        <f>SUM(P260:P261,P266:P267)/4</f>
        <v>161.24062499999999</v>
      </c>
      <c r="Q262">
        <v>151.4</v>
      </c>
      <c r="R262" s="4">
        <f>SUM(R260:R261,R266:R267)/4</f>
        <v>181.79374999999999</v>
      </c>
      <c r="S262" s="4">
        <f>SUM(S260:S261,S266:S267)/4</f>
        <v>151.47343749999999</v>
      </c>
      <c r="T262" s="4">
        <f>SUM(T260:T261,T266:T267)/4</f>
        <v>142.36093750000001</v>
      </c>
      <c r="U262" s="4">
        <f>SUM(U260:U261,U266:U267)/4</f>
        <v>150.13593750000001</v>
      </c>
      <c r="V262">
        <v>155.6</v>
      </c>
      <c r="W262">
        <v>155.6</v>
      </c>
      <c r="X262">
        <v>144.1</v>
      </c>
      <c r="Y262" s="4">
        <f>SUM(Y260:Y261,Y266:Y267)/4</f>
        <v>145.68906250000001</v>
      </c>
      <c r="Z262">
        <v>150.69999999999999</v>
      </c>
      <c r="AA262" s="4">
        <f>SUM(AA261,AA266)/2</f>
        <v>139.96250000000001</v>
      </c>
      <c r="AB262" s="4">
        <f>SUM(AB260:AB261,AB266:AB267)/4</f>
        <v>147.27031249999999</v>
      </c>
      <c r="AC262" s="4">
        <f>SUM(AC260:AC261,AC266:AC267)/4</f>
        <v>156.63906250000002</v>
      </c>
      <c r="AD262" s="4">
        <f>SUM(AD260:AD261,AD266:AD267)/4</f>
        <v>150.28593749999999</v>
      </c>
      <c r="AE262" s="4">
        <f>SUM(AE260:AE261,AE266:AE267)/4</f>
        <v>145.78437500000001</v>
      </c>
      <c r="AF262" s="4">
        <f>SUM(AF260:AF261,AF266:AF267)/4</f>
        <v>150.95937499999999</v>
      </c>
      <c r="AG262">
        <v>1971.8</v>
      </c>
      <c r="AH262" s="4">
        <f>SUM(AH260:AH261,AH266:AH267)/4</f>
        <v>181.79374999999999</v>
      </c>
      <c r="AI262">
        <v>293.83437500000002</v>
      </c>
      <c r="AJ262">
        <v>741.45937499999991</v>
      </c>
      <c r="AK262">
        <v>150.69999999999999</v>
      </c>
      <c r="AL262" s="4">
        <f>SUM(AL261,AL266)/2</f>
        <v>139.96250000000001</v>
      </c>
      <c r="AM262" s="4">
        <f>SUM(AM260:AM261,AM266:AM267)/4</f>
        <v>147.27031249999999</v>
      </c>
      <c r="AN262" s="4">
        <f>SUM(AN260:AN261,AN266:AN267)/4</f>
        <v>156.63906250000002</v>
      </c>
    </row>
    <row r="263" spans="1:40" x14ac:dyDescent="0.25">
      <c r="A263" t="s">
        <v>30</v>
      </c>
      <c r="B263">
        <v>2020</v>
      </c>
      <c r="C263" t="s">
        <v>37</v>
      </c>
      <c r="D263" t="s">
        <v>202</v>
      </c>
      <c r="E263" s="4">
        <f t="shared" ref="E263:U263" si="0">SUM(E261:E262,E266:E267)/4</f>
        <v>150.35</v>
      </c>
      <c r="F263" s="4">
        <f t="shared" si="0"/>
        <v>189.71171874999999</v>
      </c>
      <c r="G263" s="4">
        <f t="shared" si="0"/>
        <v>151.17500000000001</v>
      </c>
      <c r="H263" s="4">
        <f t="shared" si="0"/>
        <v>154.45000000000002</v>
      </c>
      <c r="I263" s="4">
        <f t="shared" si="0"/>
        <v>134.44999999999999</v>
      </c>
      <c r="J263" s="4">
        <f t="shared" si="0"/>
        <v>149.44999999999999</v>
      </c>
      <c r="K263" s="4">
        <f t="shared" si="0"/>
        <v>167.17500000000001</v>
      </c>
      <c r="L263" s="6">
        <f t="shared" si="0"/>
        <v>150.875</v>
      </c>
      <c r="M263" s="4">
        <f t="shared" si="0"/>
        <v>117.75</v>
      </c>
      <c r="N263" s="4">
        <f t="shared" si="0"/>
        <v>157.42500000000001</v>
      </c>
      <c r="O263" s="4">
        <f t="shared" si="0"/>
        <v>137</v>
      </c>
      <c r="P263" s="4">
        <f>SUM(P261:P262,P266:P267)/4</f>
        <v>161.41328125000001</v>
      </c>
      <c r="Q263" s="4">
        <f t="shared" si="0"/>
        <v>153.55000000000001</v>
      </c>
      <c r="R263" s="4">
        <f t="shared" si="0"/>
        <v>182.64218749999998</v>
      </c>
      <c r="S263" s="4">
        <f t="shared" si="0"/>
        <v>151.67304687499998</v>
      </c>
      <c r="T263" s="4">
        <f t="shared" si="0"/>
        <v>142.80742187500002</v>
      </c>
      <c r="U263" s="4">
        <f t="shared" si="0"/>
        <v>150.37617187500001</v>
      </c>
      <c r="V263" s="5" t="s">
        <v>47</v>
      </c>
      <c r="W263" s="2">
        <f>SUM(W261:W262,W267:W268)/4</f>
        <v>155.14999999999998</v>
      </c>
      <c r="X263" s="4">
        <f>SUM(X261:X262,X266:X267)/4</f>
        <v>140.80000000000001</v>
      </c>
      <c r="Y263" s="4">
        <f>SUM(Y261:Y262,Y266:Y267)/4</f>
        <v>145.90507812500002</v>
      </c>
      <c r="Z263" s="4">
        <f>SUM(Z261:Z262,Z266:Z267)/4</f>
        <v>150.44999999999999</v>
      </c>
      <c r="AA263" s="4">
        <f>SUM(AA262,AA266)/2</f>
        <v>140.68125000000001</v>
      </c>
      <c r="AB263" s="4">
        <f>SUM(AB261:AB262,AB266:AB267)/4</f>
        <v>147.88164062499999</v>
      </c>
      <c r="AC263" s="4">
        <f>SUM(AC261:AC262,AC266:AC267)/4</f>
        <v>156.86757812500002</v>
      </c>
      <c r="AD263" s="4">
        <f>SUM(AD261:AD262,AD266:AD267)/4</f>
        <v>150.73867187499999</v>
      </c>
      <c r="AE263" s="4">
        <f>SUM(AE261:AE262,AE266:AE267)/4</f>
        <v>146.21796875000001</v>
      </c>
      <c r="AF263" s="4">
        <f>SUM(AF261:AF262,AF266:AF267)/4</f>
        <v>151.23671874999999</v>
      </c>
      <c r="AG263">
        <v>1974.7749999999999</v>
      </c>
      <c r="AH263" s="4">
        <f>SUM(AH261:AH262,AH266:AH267)/4</f>
        <v>182.64218749999998</v>
      </c>
      <c r="AI263">
        <v>294.48046875</v>
      </c>
      <c r="AJ263">
        <v>738.81171874999995</v>
      </c>
      <c r="AK263" s="4">
        <f>SUM(AK261:AK262,AK266:AK267)/4</f>
        <v>150.44999999999999</v>
      </c>
      <c r="AL263" s="4">
        <f>SUM(AL262,AL266)/2</f>
        <v>140.68125000000001</v>
      </c>
      <c r="AM263" s="4">
        <f>SUM(AM261:AM262,AM266:AM267)/4</f>
        <v>147.88164062499999</v>
      </c>
      <c r="AN263" s="4">
        <f>SUM(AN261:AN262,AN266:AN267)/4</f>
        <v>156.86757812500002</v>
      </c>
    </row>
    <row r="264" spans="1:40" x14ac:dyDescent="0.25">
      <c r="A264" t="s">
        <v>32</v>
      </c>
      <c r="B264">
        <v>2020</v>
      </c>
      <c r="C264" t="s">
        <v>37</v>
      </c>
      <c r="D264" t="s">
        <v>202</v>
      </c>
      <c r="E264" s="4">
        <f t="shared" ref="E264:U264" si="1">SUM(E262:E263,E266:E267)/4</f>
        <v>149.98749999999998</v>
      </c>
      <c r="F264" s="4">
        <f t="shared" si="1"/>
        <v>191.2177734375</v>
      </c>
      <c r="G264" s="4">
        <f t="shared" si="1"/>
        <v>150.99375000000001</v>
      </c>
      <c r="H264" s="4">
        <f t="shared" si="1"/>
        <v>154.1875</v>
      </c>
      <c r="I264" s="4">
        <f t="shared" si="1"/>
        <v>135.16249999999999</v>
      </c>
      <c r="J264" s="4">
        <f t="shared" si="1"/>
        <v>148.58750000000001</v>
      </c>
      <c r="K264" s="4">
        <f t="shared" si="1"/>
        <v>163.96875</v>
      </c>
      <c r="L264" s="6">
        <f t="shared" si="1"/>
        <v>150.89375000000001</v>
      </c>
      <c r="M264" s="4">
        <f t="shared" si="1"/>
        <v>116.8875</v>
      </c>
      <c r="N264" s="4">
        <f t="shared" si="1"/>
        <v>158.28125</v>
      </c>
      <c r="O264" s="4">
        <f t="shared" si="1"/>
        <v>137.875</v>
      </c>
      <c r="P264" s="4">
        <f>SUM(P262:P263,P266:P267)/4</f>
        <v>161.53847656249999</v>
      </c>
      <c r="Q264" s="4">
        <f t="shared" si="1"/>
        <v>153.5625</v>
      </c>
      <c r="R264" s="4">
        <f t="shared" si="1"/>
        <v>183.38398437500001</v>
      </c>
      <c r="S264" s="4">
        <f t="shared" si="1"/>
        <v>151.73662109374999</v>
      </c>
      <c r="T264" s="4">
        <f t="shared" si="1"/>
        <v>142.94208984375001</v>
      </c>
      <c r="U264" s="4">
        <f t="shared" si="1"/>
        <v>150.45302734375002</v>
      </c>
      <c r="V264" s="5" t="s">
        <v>47</v>
      </c>
      <c r="W264" s="2">
        <f t="shared" ref="W264:W266" si="2">SUM(W262:W263,W268:W269)/4</f>
        <v>155.03749999999999</v>
      </c>
      <c r="X264" s="4">
        <f t="shared" ref="X264:AF264" si="3">SUM(X262:X263,X266:X267)/4</f>
        <v>141.72499999999999</v>
      </c>
      <c r="Y264" s="4">
        <f t="shared" si="3"/>
        <v>145.92353515625001</v>
      </c>
      <c r="Z264" s="4">
        <f t="shared" si="3"/>
        <v>151.86249999999998</v>
      </c>
      <c r="AA264" s="4">
        <f t="shared" si="3"/>
        <v>137.8359375</v>
      </c>
      <c r="AB264" s="4">
        <f t="shared" si="3"/>
        <v>148.21298828124998</v>
      </c>
      <c r="AC264" s="4">
        <f t="shared" si="3"/>
        <v>156.95166015625</v>
      </c>
      <c r="AD264" s="4">
        <f t="shared" si="3"/>
        <v>151.10615234374998</v>
      </c>
      <c r="AE264" s="4">
        <f t="shared" si="3"/>
        <v>146.42558593749999</v>
      </c>
      <c r="AF264" s="4">
        <f t="shared" si="3"/>
        <v>151.42402343750001</v>
      </c>
      <c r="AG264">
        <v>1973.1437499999997</v>
      </c>
      <c r="AH264" s="4">
        <f>SUM(AH262:AH263,AH266:AH267)/4</f>
        <v>183.38398437500001</v>
      </c>
      <c r="AI264">
        <v>294.6787109375</v>
      </c>
      <c r="AJ264">
        <v>740.2177734375</v>
      </c>
      <c r="AK264" s="4">
        <f>SUM(AK262:AK263,AK266:AK267)/4</f>
        <v>151.86249999999998</v>
      </c>
      <c r="AL264" s="4">
        <f>SUM(AL262:AL263,AL266:AL267)/4</f>
        <v>137.8359375</v>
      </c>
      <c r="AM264" s="4">
        <f>SUM(AM262:AM263,AM266:AM267)/4</f>
        <v>148.21298828124998</v>
      </c>
      <c r="AN264" s="4">
        <f>SUM(AN262:AN263,AN266:AN267)/4</f>
        <v>156.95166015625</v>
      </c>
    </row>
    <row r="265" spans="1:40" x14ac:dyDescent="0.25">
      <c r="A265" t="s">
        <v>33</v>
      </c>
      <c r="B265">
        <v>2020</v>
      </c>
      <c r="C265" t="s">
        <v>37</v>
      </c>
      <c r="D265" t="s">
        <v>202</v>
      </c>
      <c r="E265" s="4">
        <f>SUM(E263:E264,E266:E267)/4</f>
        <v>150.30937499999999</v>
      </c>
      <c r="F265" s="4">
        <f>SUM(F263:F264,F267:F268)/4</f>
        <v>192.65737304687502</v>
      </c>
      <c r="G265" s="4">
        <f>SUM(G263:G264,G266:G267)/4</f>
        <v>151.54218750000001</v>
      </c>
      <c r="H265" s="4">
        <f>SUM(H263:H264,H266:H267)</f>
        <v>615.33750000000009</v>
      </c>
      <c r="I265" s="4">
        <f t="shared" ref="I265:U265" si="4">SUM(I263:I264,I266:I267)/4</f>
        <v>135.17812499999999</v>
      </c>
      <c r="J265" s="4">
        <f t="shared" si="4"/>
        <v>148.25937500000001</v>
      </c>
      <c r="K265" s="4">
        <f t="shared" si="4"/>
        <v>162.81093750000002</v>
      </c>
      <c r="L265" s="6">
        <f t="shared" si="4"/>
        <v>151.01718750000001</v>
      </c>
      <c r="M265" s="4">
        <f t="shared" si="4"/>
        <v>116.034375</v>
      </c>
      <c r="N265" s="4">
        <f t="shared" si="4"/>
        <v>158.57656250000002</v>
      </c>
      <c r="O265" s="4">
        <f t="shared" si="4"/>
        <v>138.14375000000001</v>
      </c>
      <c r="P265" s="4">
        <f>SUM(P263:P264,P266:P267)/4</f>
        <v>161.61293945312499</v>
      </c>
      <c r="Q265" s="4">
        <f t="shared" si="4"/>
        <v>154.10312500000001</v>
      </c>
      <c r="R265" s="4">
        <f t="shared" si="4"/>
        <v>183.78154296874999</v>
      </c>
      <c r="S265" s="4">
        <f t="shared" si="4"/>
        <v>151.80241699218749</v>
      </c>
      <c r="T265" s="4">
        <f t="shared" si="4"/>
        <v>143.08737792968751</v>
      </c>
      <c r="U265" s="4">
        <f t="shared" si="4"/>
        <v>150.53229980468751</v>
      </c>
      <c r="V265" s="5" t="s">
        <v>47</v>
      </c>
      <c r="W265" s="2">
        <f t="shared" si="2"/>
        <v>154.89687499999999</v>
      </c>
      <c r="X265" s="4">
        <f t="shared" ref="X265:AF265" si="5">SUM(X263:X264,X266:X267)/4</f>
        <v>141.13124999999999</v>
      </c>
      <c r="Y265" s="4">
        <f t="shared" si="5"/>
        <v>145.98215332031251</v>
      </c>
      <c r="Z265" s="4">
        <f t="shared" si="5"/>
        <v>152.15312499999999</v>
      </c>
      <c r="AA265" s="4">
        <f t="shared" si="5"/>
        <v>137.30429687499998</v>
      </c>
      <c r="AB265" s="4">
        <f t="shared" si="5"/>
        <v>148.44865722656249</v>
      </c>
      <c r="AC265" s="4">
        <f t="shared" si="5"/>
        <v>157.02980957031252</v>
      </c>
      <c r="AD265" s="4">
        <f t="shared" si="5"/>
        <v>151.31120605468749</v>
      </c>
      <c r="AE265" s="4">
        <f t="shared" si="5"/>
        <v>146.58588867187501</v>
      </c>
      <c r="AF265" s="4">
        <f t="shared" si="5"/>
        <v>151.54018554687499</v>
      </c>
      <c r="AG265">
        <v>2435.5828125000003</v>
      </c>
      <c r="AH265" s="4">
        <f>SUM(AH263:AH264,AH266:AH267)/4</f>
        <v>183.78154296874999</v>
      </c>
      <c r="AI265">
        <v>294.88979492187502</v>
      </c>
      <c r="AJ265">
        <v>739.90737304687491</v>
      </c>
      <c r="AK265" s="4">
        <f>SUM(AK263:AK264,AK266:AK267)/4</f>
        <v>152.15312499999999</v>
      </c>
      <c r="AL265" s="4">
        <f>SUM(AL263:AL264,AL266:AL267)/4</f>
        <v>137.30429687499998</v>
      </c>
      <c r="AM265" s="4">
        <f>SUM(AM263:AM264,AM266:AM267)/4</f>
        <v>148.44865722656249</v>
      </c>
      <c r="AN265" s="4">
        <f>SUM(AN263:AN264,AN266:AN267)/4</f>
        <v>157.02980957031252</v>
      </c>
    </row>
    <row r="266" spans="1:40" x14ac:dyDescent="0.25">
      <c r="A266" t="s">
        <v>30</v>
      </c>
      <c r="B266">
        <v>2020</v>
      </c>
      <c r="C266" t="s">
        <v>38</v>
      </c>
      <c r="D266" t="s">
        <v>200</v>
      </c>
      <c r="E266">
        <v>148.19999999999999</v>
      </c>
      <c r="F266">
        <v>190.3</v>
      </c>
      <c r="G266">
        <v>149.4</v>
      </c>
      <c r="H266">
        <v>153.30000000000001</v>
      </c>
      <c r="I266">
        <v>138.19999999999999</v>
      </c>
      <c r="J266">
        <v>143.19999999999999</v>
      </c>
      <c r="K266">
        <v>148.9</v>
      </c>
      <c r="L266">
        <v>150.30000000000001</v>
      </c>
      <c r="M266">
        <v>113.2</v>
      </c>
      <c r="N266">
        <v>159.80000000000001</v>
      </c>
      <c r="O266">
        <v>142.1</v>
      </c>
      <c r="P266">
        <v>161.80000000000001</v>
      </c>
      <c r="Q266" s="2">
        <v>152.30000000000001</v>
      </c>
      <c r="R266">
        <v>182.4</v>
      </c>
      <c r="S266">
        <v>154.69999999999999</v>
      </c>
      <c r="T266">
        <v>150</v>
      </c>
      <c r="U266">
        <v>154.1</v>
      </c>
      <c r="V266" t="s">
        <v>47</v>
      </c>
      <c r="W266" s="2">
        <f t="shared" si="2"/>
        <v>154.83359374999998</v>
      </c>
      <c r="X266">
        <v>144.9</v>
      </c>
      <c r="Y266">
        <v>151.69999999999999</v>
      </c>
      <c r="Z266">
        <v>158.19999999999999</v>
      </c>
      <c r="AA266">
        <v>141.4</v>
      </c>
      <c r="AB266">
        <v>153.19999999999999</v>
      </c>
      <c r="AC266">
        <v>161.80000000000001</v>
      </c>
      <c r="AD266">
        <v>151.19999999999999</v>
      </c>
      <c r="AE266">
        <v>151.69999999999999</v>
      </c>
      <c r="AF266">
        <v>152.69999999999999</v>
      </c>
      <c r="AG266">
        <v>1951</v>
      </c>
      <c r="AH266">
        <v>182.4</v>
      </c>
      <c r="AI266">
        <v>304.7</v>
      </c>
      <c r="AJ266">
        <v>754.33359374999986</v>
      </c>
      <c r="AK266">
        <v>158.19999999999999</v>
      </c>
      <c r="AL266">
        <v>141.4</v>
      </c>
      <c r="AM266">
        <v>153.19999999999999</v>
      </c>
      <c r="AN266">
        <v>161.80000000000001</v>
      </c>
    </row>
    <row r="267" spans="1:40" x14ac:dyDescent="0.25">
      <c r="A267" t="s">
        <v>32</v>
      </c>
      <c r="B267">
        <v>2020</v>
      </c>
      <c r="C267" t="s">
        <v>38</v>
      </c>
      <c r="D267" t="s">
        <v>200</v>
      </c>
      <c r="E267">
        <v>152.69999999999999</v>
      </c>
      <c r="F267">
        <v>197</v>
      </c>
      <c r="G267">
        <v>154.6</v>
      </c>
      <c r="H267">
        <v>153.4</v>
      </c>
      <c r="I267">
        <v>132.9</v>
      </c>
      <c r="J267">
        <v>151.80000000000001</v>
      </c>
      <c r="K267">
        <v>171.2</v>
      </c>
      <c r="L267">
        <v>152</v>
      </c>
      <c r="M267">
        <v>116.3</v>
      </c>
      <c r="N267">
        <v>158.80000000000001</v>
      </c>
      <c r="O267">
        <v>135.6</v>
      </c>
      <c r="P267">
        <v>161.69999999999999</v>
      </c>
      <c r="Q267">
        <v>157</v>
      </c>
      <c r="R267">
        <v>186.7</v>
      </c>
      <c r="S267">
        <v>149.1</v>
      </c>
      <c r="T267">
        <v>136.6</v>
      </c>
      <c r="U267">
        <v>147.19999999999999</v>
      </c>
      <c r="V267">
        <v>154.69999999999999</v>
      </c>
      <c r="W267">
        <v>154.69999999999999</v>
      </c>
      <c r="X267">
        <v>137.1</v>
      </c>
      <c r="Y267">
        <v>140.4</v>
      </c>
      <c r="Z267">
        <v>148.1</v>
      </c>
      <c r="AA267">
        <v>129.30000000000001</v>
      </c>
      <c r="AB267">
        <v>144.5</v>
      </c>
      <c r="AC267">
        <v>152.5</v>
      </c>
      <c r="AD267">
        <v>152.19999999999999</v>
      </c>
      <c r="AE267">
        <v>142</v>
      </c>
      <c r="AF267">
        <v>150.80000000000001</v>
      </c>
      <c r="AG267">
        <v>1994.9999999999998</v>
      </c>
      <c r="AH267">
        <v>186.7</v>
      </c>
      <c r="AI267">
        <v>285.7</v>
      </c>
      <c r="AJ267">
        <v>726.39999999999986</v>
      </c>
      <c r="AK267">
        <v>148.1</v>
      </c>
      <c r="AL267">
        <v>129.30000000000001</v>
      </c>
      <c r="AM267">
        <v>144.5</v>
      </c>
      <c r="AN267">
        <v>152.5</v>
      </c>
    </row>
    <row r="268" spans="1:40" x14ac:dyDescent="0.25">
      <c r="A268" t="s">
        <v>33</v>
      </c>
      <c r="B268">
        <v>2020</v>
      </c>
      <c r="C268" t="s">
        <v>38</v>
      </c>
      <c r="D268" t="s">
        <v>200</v>
      </c>
      <c r="E268">
        <v>149.6</v>
      </c>
      <c r="F268">
        <v>192.7</v>
      </c>
      <c r="G268">
        <v>151.4</v>
      </c>
      <c r="H268">
        <v>153.30000000000001</v>
      </c>
      <c r="I268">
        <v>136.30000000000001</v>
      </c>
      <c r="J268">
        <v>147.19999999999999</v>
      </c>
      <c r="K268">
        <v>156.5</v>
      </c>
      <c r="L268">
        <v>150.9</v>
      </c>
      <c r="M268">
        <v>114.2</v>
      </c>
      <c r="N268">
        <v>159.5</v>
      </c>
      <c r="O268">
        <v>139.4</v>
      </c>
      <c r="P268">
        <v>161.80000000000001</v>
      </c>
      <c r="Q268">
        <v>154</v>
      </c>
      <c r="R268">
        <v>183.5</v>
      </c>
      <c r="S268">
        <v>152.5</v>
      </c>
      <c r="T268">
        <v>144.4</v>
      </c>
      <c r="U268">
        <v>151.4</v>
      </c>
      <c r="V268">
        <v>154.69999999999999</v>
      </c>
      <c r="W268">
        <v>154.69999999999999</v>
      </c>
      <c r="X268">
        <v>141.9</v>
      </c>
      <c r="Y268">
        <v>146.4</v>
      </c>
      <c r="Z268">
        <v>154.4</v>
      </c>
      <c r="AA268">
        <v>135</v>
      </c>
      <c r="AB268">
        <v>148.30000000000001</v>
      </c>
      <c r="AC268">
        <v>156.4</v>
      </c>
      <c r="AD268">
        <v>151.6</v>
      </c>
      <c r="AE268">
        <v>147</v>
      </c>
      <c r="AF268">
        <v>151.80000000000001</v>
      </c>
      <c r="AG268">
        <v>1966.8000000000002</v>
      </c>
      <c r="AH268">
        <v>183.5</v>
      </c>
      <c r="AI268">
        <v>296.89999999999998</v>
      </c>
      <c r="AJ268">
        <v>741.6</v>
      </c>
      <c r="AK268">
        <v>154.4</v>
      </c>
      <c r="AL268">
        <v>135</v>
      </c>
      <c r="AM268">
        <v>148.30000000000001</v>
      </c>
      <c r="AN268">
        <v>156.4</v>
      </c>
    </row>
    <row r="269" spans="1:40" x14ac:dyDescent="0.25">
      <c r="A269" t="s">
        <v>30</v>
      </c>
      <c r="B269">
        <v>2020</v>
      </c>
      <c r="C269" t="s">
        <v>39</v>
      </c>
      <c r="D269" t="s">
        <v>199</v>
      </c>
      <c r="E269">
        <v>148.19999999999999</v>
      </c>
      <c r="F269">
        <v>190.3</v>
      </c>
      <c r="G269">
        <v>149.4</v>
      </c>
      <c r="H269">
        <v>153.30000000000001</v>
      </c>
      <c r="I269">
        <v>138.19999999999999</v>
      </c>
      <c r="J269">
        <v>143.19999999999999</v>
      </c>
      <c r="K269">
        <v>148.9</v>
      </c>
      <c r="L269">
        <v>150.30000000000001</v>
      </c>
      <c r="M269">
        <v>113.2</v>
      </c>
      <c r="N269">
        <v>159.80000000000001</v>
      </c>
      <c r="O269">
        <v>142.1</v>
      </c>
      <c r="P269">
        <v>161.80000000000001</v>
      </c>
      <c r="Q269">
        <v>152.30000000000001</v>
      </c>
      <c r="R269">
        <v>182.4</v>
      </c>
      <c r="S269">
        <v>154.69999999999999</v>
      </c>
      <c r="T269">
        <v>150</v>
      </c>
      <c r="U269">
        <v>154.1</v>
      </c>
      <c r="V269" t="s">
        <v>47</v>
      </c>
      <c r="W269">
        <v>154.69999999999999</v>
      </c>
      <c r="X269">
        <v>144.9</v>
      </c>
      <c r="Y269">
        <v>151.69999999999999</v>
      </c>
      <c r="Z269">
        <v>158.19999999999999</v>
      </c>
      <c r="AA269">
        <v>141.4</v>
      </c>
      <c r="AB269">
        <v>153.19999999999999</v>
      </c>
      <c r="AC269">
        <v>161.80000000000001</v>
      </c>
      <c r="AD269">
        <v>151.19999999999999</v>
      </c>
      <c r="AE269">
        <v>151.69999999999999</v>
      </c>
      <c r="AF269">
        <v>152.69999999999999</v>
      </c>
      <c r="AG269">
        <v>1951</v>
      </c>
      <c r="AH269">
        <v>182.4</v>
      </c>
      <c r="AI269">
        <v>304.7</v>
      </c>
      <c r="AJ269">
        <v>754.2</v>
      </c>
      <c r="AK269">
        <v>158.19999999999999</v>
      </c>
      <c r="AL269">
        <v>141.4</v>
      </c>
      <c r="AM269">
        <v>153.19999999999999</v>
      </c>
      <c r="AN269">
        <v>161.80000000000001</v>
      </c>
    </row>
    <row r="270" spans="1:40" x14ac:dyDescent="0.25">
      <c r="A270" t="s">
        <v>32</v>
      </c>
      <c r="B270">
        <v>2020</v>
      </c>
      <c r="C270" t="s">
        <v>39</v>
      </c>
      <c r="D270" t="s">
        <v>199</v>
      </c>
      <c r="E270">
        <v>152.69999999999999</v>
      </c>
      <c r="F270">
        <v>197</v>
      </c>
      <c r="G270">
        <v>154.6</v>
      </c>
      <c r="H270">
        <v>153.4</v>
      </c>
      <c r="I270">
        <v>132.9</v>
      </c>
      <c r="J270">
        <v>151.80000000000001</v>
      </c>
      <c r="K270">
        <v>171.2</v>
      </c>
      <c r="L270">
        <v>152</v>
      </c>
      <c r="M270">
        <v>116.3</v>
      </c>
      <c r="N270">
        <v>158.80000000000001</v>
      </c>
      <c r="O270">
        <v>135.6</v>
      </c>
      <c r="P270">
        <v>161.69999999999999</v>
      </c>
      <c r="Q270">
        <v>157</v>
      </c>
      <c r="R270">
        <v>186.7</v>
      </c>
      <c r="S270">
        <v>149.1</v>
      </c>
      <c r="T270">
        <v>136.6</v>
      </c>
      <c r="U270">
        <v>147.19999999999999</v>
      </c>
      <c r="V270">
        <v>154.69999999999999</v>
      </c>
      <c r="W270">
        <v>154.69999999999999</v>
      </c>
      <c r="X270">
        <v>137.1</v>
      </c>
      <c r="Y270">
        <v>140.4</v>
      </c>
      <c r="Z270">
        <v>148.1</v>
      </c>
      <c r="AA270">
        <v>129.30000000000001</v>
      </c>
      <c r="AB270">
        <v>144.5</v>
      </c>
      <c r="AC270">
        <v>152.5</v>
      </c>
      <c r="AD270">
        <v>152.19999999999999</v>
      </c>
      <c r="AE270">
        <v>142</v>
      </c>
      <c r="AF270">
        <v>150.80000000000001</v>
      </c>
      <c r="AG270">
        <v>1994.9999999999998</v>
      </c>
      <c r="AH270">
        <v>186.7</v>
      </c>
      <c r="AI270">
        <v>285.7</v>
      </c>
      <c r="AJ270">
        <v>726.39999999999986</v>
      </c>
      <c r="AK270">
        <v>148.1</v>
      </c>
      <c r="AL270">
        <v>129.30000000000001</v>
      </c>
      <c r="AM270">
        <v>144.5</v>
      </c>
      <c r="AN270">
        <v>152.5</v>
      </c>
    </row>
    <row r="271" spans="1:40" x14ac:dyDescent="0.25">
      <c r="A271" t="s">
        <v>33</v>
      </c>
      <c r="B271">
        <v>2020</v>
      </c>
      <c r="C271" t="s">
        <v>39</v>
      </c>
      <c r="D271" t="s">
        <v>199</v>
      </c>
      <c r="E271">
        <v>149.6</v>
      </c>
      <c r="F271">
        <v>192.7</v>
      </c>
      <c r="G271">
        <v>151.4</v>
      </c>
      <c r="H271">
        <v>153.30000000000001</v>
      </c>
      <c r="I271">
        <v>136.30000000000001</v>
      </c>
      <c r="J271">
        <v>147.19999999999999</v>
      </c>
      <c r="K271">
        <v>156.5</v>
      </c>
      <c r="L271">
        <v>150.9</v>
      </c>
      <c r="M271">
        <v>114.2</v>
      </c>
      <c r="N271">
        <v>159.5</v>
      </c>
      <c r="O271">
        <v>139.4</v>
      </c>
      <c r="P271">
        <v>161.80000000000001</v>
      </c>
      <c r="Q271">
        <v>154</v>
      </c>
      <c r="R271">
        <v>183.5</v>
      </c>
      <c r="S271">
        <v>152.5</v>
      </c>
      <c r="T271">
        <v>144.4</v>
      </c>
      <c r="U271">
        <v>151.4</v>
      </c>
      <c r="V271">
        <v>154.69999999999999</v>
      </c>
      <c r="W271">
        <v>154.69999999999999</v>
      </c>
      <c r="X271">
        <v>141.9</v>
      </c>
      <c r="Y271">
        <v>146.4</v>
      </c>
      <c r="Z271">
        <v>154.4</v>
      </c>
      <c r="AA271">
        <v>135</v>
      </c>
      <c r="AB271">
        <v>148.30000000000001</v>
      </c>
      <c r="AC271">
        <v>156.4</v>
      </c>
      <c r="AD271">
        <v>151.6</v>
      </c>
      <c r="AE271">
        <v>147</v>
      </c>
      <c r="AF271">
        <v>151.80000000000001</v>
      </c>
      <c r="AG271">
        <v>1966.8000000000002</v>
      </c>
      <c r="AH271">
        <v>183.5</v>
      </c>
      <c r="AI271">
        <v>296.89999999999998</v>
      </c>
      <c r="AJ271">
        <v>741.6</v>
      </c>
      <c r="AK271">
        <v>154.4</v>
      </c>
      <c r="AL271">
        <v>135</v>
      </c>
      <c r="AM271">
        <v>148.30000000000001</v>
      </c>
      <c r="AN271">
        <v>156.4</v>
      </c>
    </row>
    <row r="272" spans="1:40" x14ac:dyDescent="0.25">
      <c r="A272" t="s">
        <v>30</v>
      </c>
      <c r="B272">
        <v>2020</v>
      </c>
      <c r="C272" t="s">
        <v>40</v>
      </c>
      <c r="D272" t="s">
        <v>195</v>
      </c>
      <c r="E272">
        <v>147.6</v>
      </c>
      <c r="F272">
        <v>187.2</v>
      </c>
      <c r="G272">
        <v>148.4</v>
      </c>
      <c r="H272">
        <v>153.30000000000001</v>
      </c>
      <c r="I272">
        <v>139.80000000000001</v>
      </c>
      <c r="J272">
        <v>146.9</v>
      </c>
      <c r="K272">
        <v>171</v>
      </c>
      <c r="L272">
        <v>149.9</v>
      </c>
      <c r="M272">
        <v>114.2</v>
      </c>
      <c r="N272">
        <v>160</v>
      </c>
      <c r="O272">
        <v>143.5</v>
      </c>
      <c r="P272">
        <v>161.5</v>
      </c>
      <c r="Q272">
        <v>155.30000000000001</v>
      </c>
      <c r="R272">
        <v>180.9</v>
      </c>
      <c r="S272">
        <v>155.1</v>
      </c>
      <c r="T272">
        <v>149.30000000000001</v>
      </c>
      <c r="U272">
        <v>154.30000000000001</v>
      </c>
      <c r="V272" t="s">
        <v>47</v>
      </c>
      <c r="W272">
        <f>SUM(W270:W271,W273:W274)/4</f>
        <v>155.1</v>
      </c>
      <c r="X272">
        <v>145.80000000000001</v>
      </c>
      <c r="Y272">
        <v>151.9</v>
      </c>
      <c r="Z272">
        <v>158.80000000000001</v>
      </c>
      <c r="AA272">
        <v>143.6</v>
      </c>
      <c r="AB272">
        <v>152.19999999999999</v>
      </c>
      <c r="AC272">
        <v>162.69999999999999</v>
      </c>
      <c r="AD272">
        <v>153.6</v>
      </c>
      <c r="AE272">
        <v>153</v>
      </c>
      <c r="AF272">
        <v>154.69999999999999</v>
      </c>
      <c r="AG272">
        <v>1978.6</v>
      </c>
      <c r="AH272">
        <v>180.9</v>
      </c>
      <c r="AI272">
        <v>304.39999999999998</v>
      </c>
      <c r="AJ272">
        <v>759.4</v>
      </c>
      <c r="AK272">
        <v>158.80000000000001</v>
      </c>
      <c r="AL272">
        <v>143.6</v>
      </c>
      <c r="AM272">
        <v>152.19999999999999</v>
      </c>
      <c r="AN272">
        <v>162.69999999999999</v>
      </c>
    </row>
    <row r="273" spans="1:40" x14ac:dyDescent="0.25">
      <c r="A273" t="s">
        <v>32</v>
      </c>
      <c r="B273">
        <v>2020</v>
      </c>
      <c r="C273" t="s">
        <v>40</v>
      </c>
      <c r="D273" t="s">
        <v>195</v>
      </c>
      <c r="E273">
        <v>151.6</v>
      </c>
      <c r="F273">
        <v>197.8</v>
      </c>
      <c r="G273">
        <v>154.5</v>
      </c>
      <c r="H273">
        <v>153.4</v>
      </c>
      <c r="I273">
        <v>133.4</v>
      </c>
      <c r="J273">
        <v>154.5</v>
      </c>
      <c r="K273">
        <v>191.9</v>
      </c>
      <c r="L273">
        <v>151.30000000000001</v>
      </c>
      <c r="M273">
        <v>116.8</v>
      </c>
      <c r="N273">
        <v>160</v>
      </c>
      <c r="O273">
        <v>136.5</v>
      </c>
      <c r="P273">
        <v>163.30000000000001</v>
      </c>
      <c r="Q273">
        <v>159.9</v>
      </c>
      <c r="R273">
        <v>187.2</v>
      </c>
      <c r="S273">
        <v>150</v>
      </c>
      <c r="T273">
        <v>135.19999999999999</v>
      </c>
      <c r="U273">
        <v>147.80000000000001</v>
      </c>
      <c r="V273">
        <v>155.5</v>
      </c>
      <c r="W273">
        <v>155.5</v>
      </c>
      <c r="X273">
        <v>138.30000000000001</v>
      </c>
      <c r="Y273">
        <v>144.5</v>
      </c>
      <c r="Z273">
        <v>148.69999999999999</v>
      </c>
      <c r="AA273">
        <v>133.9</v>
      </c>
      <c r="AB273">
        <v>141.19999999999999</v>
      </c>
      <c r="AC273">
        <v>155.5</v>
      </c>
      <c r="AD273">
        <v>155.19999999999999</v>
      </c>
      <c r="AE273">
        <v>144.80000000000001</v>
      </c>
      <c r="AF273">
        <v>152.9</v>
      </c>
      <c r="AG273">
        <v>2024.8999999999999</v>
      </c>
      <c r="AH273">
        <v>187.2</v>
      </c>
      <c r="AI273">
        <v>285.2</v>
      </c>
      <c r="AJ273">
        <v>738.3</v>
      </c>
      <c r="AK273">
        <v>148.69999999999999</v>
      </c>
      <c r="AL273">
        <v>133.9</v>
      </c>
      <c r="AM273">
        <v>141.19999999999999</v>
      </c>
      <c r="AN273">
        <v>155.5</v>
      </c>
    </row>
    <row r="274" spans="1:40" x14ac:dyDescent="0.25">
      <c r="A274" t="s">
        <v>33</v>
      </c>
      <c r="B274">
        <v>2020</v>
      </c>
      <c r="C274" t="s">
        <v>40</v>
      </c>
      <c r="D274" t="s">
        <v>195</v>
      </c>
      <c r="E274">
        <v>148.9</v>
      </c>
      <c r="F274">
        <v>190.9</v>
      </c>
      <c r="G274">
        <v>150.80000000000001</v>
      </c>
      <c r="H274">
        <v>153.30000000000001</v>
      </c>
      <c r="I274">
        <v>137.4</v>
      </c>
      <c r="J274">
        <v>150.4</v>
      </c>
      <c r="K274">
        <v>178.1</v>
      </c>
      <c r="L274">
        <v>150.4</v>
      </c>
      <c r="M274">
        <v>115.1</v>
      </c>
      <c r="N274">
        <v>160</v>
      </c>
      <c r="O274">
        <v>140.6</v>
      </c>
      <c r="P274">
        <v>162.30000000000001</v>
      </c>
      <c r="Q274">
        <v>157</v>
      </c>
      <c r="R274">
        <v>182.6</v>
      </c>
      <c r="S274">
        <v>153.1</v>
      </c>
      <c r="T274">
        <v>143.4</v>
      </c>
      <c r="U274">
        <v>151.69999999999999</v>
      </c>
      <c r="V274">
        <v>155.5</v>
      </c>
      <c r="W274">
        <v>155.5</v>
      </c>
      <c r="X274">
        <v>143</v>
      </c>
      <c r="Y274">
        <v>148.4</v>
      </c>
      <c r="Z274">
        <v>155</v>
      </c>
      <c r="AA274">
        <v>138.5</v>
      </c>
      <c r="AB274">
        <v>146</v>
      </c>
      <c r="AC274">
        <v>158.5</v>
      </c>
      <c r="AD274">
        <v>154.30000000000001</v>
      </c>
      <c r="AE274">
        <v>149</v>
      </c>
      <c r="AF274">
        <v>153.9</v>
      </c>
      <c r="AG274">
        <v>1995.1999999999998</v>
      </c>
      <c r="AH274">
        <v>182.6</v>
      </c>
      <c r="AI274">
        <v>296.5</v>
      </c>
      <c r="AJ274">
        <v>750.2</v>
      </c>
      <c r="AK274">
        <v>155</v>
      </c>
      <c r="AL274">
        <v>138.5</v>
      </c>
      <c r="AM274">
        <v>146</v>
      </c>
      <c r="AN274">
        <v>158.5</v>
      </c>
    </row>
    <row r="275" spans="1:40" x14ac:dyDescent="0.25">
      <c r="A275" t="s">
        <v>30</v>
      </c>
      <c r="B275">
        <v>2020</v>
      </c>
      <c r="C275" t="s">
        <v>41</v>
      </c>
      <c r="D275" t="s">
        <v>205</v>
      </c>
      <c r="E275">
        <v>146.9</v>
      </c>
      <c r="F275">
        <v>183.9</v>
      </c>
      <c r="G275">
        <v>149.5</v>
      </c>
      <c r="H275">
        <v>153.4</v>
      </c>
      <c r="I275">
        <v>140.4</v>
      </c>
      <c r="J275">
        <v>147</v>
      </c>
      <c r="K275">
        <v>178.8</v>
      </c>
      <c r="L275">
        <v>149.30000000000001</v>
      </c>
      <c r="M275">
        <v>115.1</v>
      </c>
      <c r="N275">
        <v>160</v>
      </c>
      <c r="O275">
        <v>145.4</v>
      </c>
      <c r="P275">
        <v>161.6</v>
      </c>
      <c r="Q275">
        <v>156.1</v>
      </c>
      <c r="R275">
        <v>182.9</v>
      </c>
      <c r="S275">
        <v>155.4</v>
      </c>
      <c r="T275">
        <v>149.9</v>
      </c>
      <c r="U275">
        <v>154.6</v>
      </c>
      <c r="V275" t="s">
        <v>47</v>
      </c>
      <c r="W275">
        <v>156.30000000000001</v>
      </c>
      <c r="X275">
        <v>146.4</v>
      </c>
      <c r="Y275">
        <v>151.6</v>
      </c>
      <c r="Z275">
        <v>159.1</v>
      </c>
      <c r="AA275">
        <v>144.6</v>
      </c>
      <c r="AB275">
        <v>152.80000000000001</v>
      </c>
      <c r="AC275">
        <v>161.1</v>
      </c>
      <c r="AD275">
        <v>157.4</v>
      </c>
      <c r="AE275">
        <v>153.69999999999999</v>
      </c>
      <c r="AF275">
        <v>155.4</v>
      </c>
      <c r="AG275">
        <v>1987.3999999999999</v>
      </c>
      <c r="AH275">
        <v>182.9</v>
      </c>
      <c r="AI275">
        <v>305.3</v>
      </c>
      <c r="AJ275">
        <v>765.40000000000009</v>
      </c>
      <c r="AK275">
        <v>159.1</v>
      </c>
      <c r="AL275">
        <v>144.6</v>
      </c>
      <c r="AM275">
        <v>152.80000000000001</v>
      </c>
      <c r="AN275">
        <v>161.1</v>
      </c>
    </row>
    <row r="276" spans="1:40" x14ac:dyDescent="0.25">
      <c r="A276" t="s">
        <v>32</v>
      </c>
      <c r="B276">
        <v>2020</v>
      </c>
      <c r="C276" t="s">
        <v>41</v>
      </c>
      <c r="D276" t="s">
        <v>205</v>
      </c>
      <c r="E276">
        <v>151.5</v>
      </c>
      <c r="F276">
        <v>193.1</v>
      </c>
      <c r="G276">
        <v>157.30000000000001</v>
      </c>
      <c r="H276">
        <v>153.9</v>
      </c>
      <c r="I276">
        <v>134.4</v>
      </c>
      <c r="J276">
        <v>155.4</v>
      </c>
      <c r="K276">
        <v>202</v>
      </c>
      <c r="L276">
        <v>150.80000000000001</v>
      </c>
      <c r="M276">
        <v>118.9</v>
      </c>
      <c r="N276">
        <v>160.9</v>
      </c>
      <c r="O276">
        <v>137.69999999999999</v>
      </c>
      <c r="P276">
        <v>164.4</v>
      </c>
      <c r="Q276">
        <v>161.30000000000001</v>
      </c>
      <c r="R276">
        <v>188.7</v>
      </c>
      <c r="S276">
        <v>150.19999999999999</v>
      </c>
      <c r="T276">
        <v>136.30000000000001</v>
      </c>
      <c r="U276">
        <v>148.1</v>
      </c>
      <c r="V276">
        <v>156.30000000000001</v>
      </c>
      <c r="W276">
        <v>156.30000000000001</v>
      </c>
      <c r="X276">
        <v>137.19999999999999</v>
      </c>
      <c r="Y276">
        <v>145.4</v>
      </c>
      <c r="Z276">
        <v>150</v>
      </c>
      <c r="AA276">
        <v>135.1</v>
      </c>
      <c r="AB276">
        <v>141.80000000000001</v>
      </c>
      <c r="AC276">
        <v>154.9</v>
      </c>
      <c r="AD276">
        <v>159.80000000000001</v>
      </c>
      <c r="AE276">
        <v>146</v>
      </c>
      <c r="AF276">
        <v>154</v>
      </c>
      <c r="AG276">
        <v>2041.6000000000001</v>
      </c>
      <c r="AH276">
        <v>188.7</v>
      </c>
      <c r="AI276">
        <v>286.5</v>
      </c>
      <c r="AJ276">
        <v>744.7</v>
      </c>
      <c r="AK276">
        <v>150</v>
      </c>
      <c r="AL276">
        <v>135.1</v>
      </c>
      <c r="AM276">
        <v>141.80000000000001</v>
      </c>
      <c r="AN276">
        <v>154.9</v>
      </c>
    </row>
    <row r="277" spans="1:40" x14ac:dyDescent="0.25">
      <c r="A277" t="s">
        <v>33</v>
      </c>
      <c r="B277">
        <v>2020</v>
      </c>
      <c r="C277" t="s">
        <v>41</v>
      </c>
      <c r="D277" t="s">
        <v>205</v>
      </c>
      <c r="E277">
        <v>148.4</v>
      </c>
      <c r="F277">
        <v>187.1</v>
      </c>
      <c r="G277">
        <v>152.5</v>
      </c>
      <c r="H277">
        <v>153.6</v>
      </c>
      <c r="I277">
        <v>138.19999999999999</v>
      </c>
      <c r="J277">
        <v>150.9</v>
      </c>
      <c r="K277">
        <v>186.7</v>
      </c>
      <c r="L277">
        <v>149.80000000000001</v>
      </c>
      <c r="M277">
        <v>116.4</v>
      </c>
      <c r="N277">
        <v>160.30000000000001</v>
      </c>
      <c r="O277">
        <v>142.19999999999999</v>
      </c>
      <c r="P277">
        <v>162.9</v>
      </c>
      <c r="Q277">
        <v>158</v>
      </c>
      <c r="R277">
        <v>184.4</v>
      </c>
      <c r="S277">
        <v>153.4</v>
      </c>
      <c r="T277">
        <v>144.30000000000001</v>
      </c>
      <c r="U277">
        <v>152</v>
      </c>
      <c r="V277">
        <v>156.30000000000001</v>
      </c>
      <c r="W277">
        <v>156.30000000000001</v>
      </c>
      <c r="X277">
        <v>142.9</v>
      </c>
      <c r="Y277">
        <v>148.69999999999999</v>
      </c>
      <c r="Z277">
        <v>155.6</v>
      </c>
      <c r="AA277">
        <v>139.6</v>
      </c>
      <c r="AB277">
        <v>146.6</v>
      </c>
      <c r="AC277">
        <v>157.5</v>
      </c>
      <c r="AD277">
        <v>158.4</v>
      </c>
      <c r="AE277">
        <v>150</v>
      </c>
      <c r="AF277">
        <v>154.69999999999999</v>
      </c>
      <c r="AG277">
        <v>2007</v>
      </c>
      <c r="AH277">
        <v>184.4</v>
      </c>
      <c r="AI277">
        <v>297.70000000000005</v>
      </c>
      <c r="AJ277">
        <v>756.30000000000007</v>
      </c>
      <c r="AK277">
        <v>155.6</v>
      </c>
      <c r="AL277">
        <v>139.6</v>
      </c>
      <c r="AM277">
        <v>146.6</v>
      </c>
      <c r="AN277">
        <v>157.5</v>
      </c>
    </row>
    <row r="278" spans="1:40" x14ac:dyDescent="0.25">
      <c r="A278" t="s">
        <v>30</v>
      </c>
      <c r="B278">
        <v>2020</v>
      </c>
      <c r="C278" t="s">
        <v>42</v>
      </c>
      <c r="D278" t="s">
        <v>204</v>
      </c>
      <c r="E278">
        <v>146</v>
      </c>
      <c r="F278">
        <v>186.3</v>
      </c>
      <c r="G278">
        <v>159.19999999999999</v>
      </c>
      <c r="H278">
        <v>153.6</v>
      </c>
      <c r="I278">
        <v>142.6</v>
      </c>
      <c r="J278">
        <v>147.19999999999999</v>
      </c>
      <c r="K278">
        <v>200.6</v>
      </c>
      <c r="L278">
        <v>150.30000000000001</v>
      </c>
      <c r="M278">
        <v>115.3</v>
      </c>
      <c r="N278">
        <v>160.9</v>
      </c>
      <c r="O278">
        <v>147.4</v>
      </c>
      <c r="P278">
        <v>161.9</v>
      </c>
      <c r="Q278">
        <v>159.6</v>
      </c>
      <c r="R278">
        <v>182.7</v>
      </c>
      <c r="S278">
        <v>155.69999999999999</v>
      </c>
      <c r="T278">
        <v>150.6</v>
      </c>
      <c r="U278">
        <v>155</v>
      </c>
      <c r="V278" t="s">
        <v>47</v>
      </c>
      <c r="W278">
        <v>156.5</v>
      </c>
      <c r="X278">
        <v>146.80000000000001</v>
      </c>
      <c r="Y278">
        <v>152</v>
      </c>
      <c r="Z278">
        <v>159.5</v>
      </c>
      <c r="AA278">
        <v>146.4</v>
      </c>
      <c r="AB278">
        <v>152.4</v>
      </c>
      <c r="AC278">
        <v>162.5</v>
      </c>
      <c r="AD278">
        <v>156.19999999999999</v>
      </c>
      <c r="AE278">
        <v>154.30000000000001</v>
      </c>
      <c r="AF278">
        <v>157.5</v>
      </c>
      <c r="AG278">
        <v>2030.9</v>
      </c>
      <c r="AH278">
        <v>182.7</v>
      </c>
      <c r="AI278">
        <v>306.29999999999995</v>
      </c>
      <c r="AJ278">
        <v>765.8</v>
      </c>
      <c r="AK278">
        <v>159.5</v>
      </c>
      <c r="AL278">
        <v>146.4</v>
      </c>
      <c r="AM278">
        <v>152.4</v>
      </c>
      <c r="AN278">
        <v>162.5</v>
      </c>
    </row>
    <row r="279" spans="1:40" x14ac:dyDescent="0.25">
      <c r="A279" t="s">
        <v>32</v>
      </c>
      <c r="B279">
        <v>2020</v>
      </c>
      <c r="C279" t="s">
        <v>42</v>
      </c>
      <c r="D279" t="s">
        <v>204</v>
      </c>
      <c r="E279">
        <v>150.6</v>
      </c>
      <c r="F279">
        <v>193.7</v>
      </c>
      <c r="G279">
        <v>164.8</v>
      </c>
      <c r="H279">
        <v>153.69999999999999</v>
      </c>
      <c r="I279">
        <v>135.69999999999999</v>
      </c>
      <c r="J279">
        <v>155.69999999999999</v>
      </c>
      <c r="K279">
        <v>226</v>
      </c>
      <c r="L279">
        <v>152.19999999999999</v>
      </c>
      <c r="M279">
        <v>118.1</v>
      </c>
      <c r="N279">
        <v>161.30000000000001</v>
      </c>
      <c r="O279">
        <v>139.19999999999999</v>
      </c>
      <c r="P279">
        <v>164.8</v>
      </c>
      <c r="Q279">
        <v>164.4</v>
      </c>
      <c r="R279">
        <v>188.7</v>
      </c>
      <c r="S279">
        <v>150.5</v>
      </c>
      <c r="T279">
        <v>136.1</v>
      </c>
      <c r="U279">
        <v>148.30000000000001</v>
      </c>
      <c r="V279">
        <v>156.5</v>
      </c>
      <c r="W279">
        <v>156.5</v>
      </c>
      <c r="X279">
        <v>137.1</v>
      </c>
      <c r="Y279">
        <v>145.1</v>
      </c>
      <c r="Z279">
        <v>151</v>
      </c>
      <c r="AA279">
        <v>135.4</v>
      </c>
      <c r="AB279">
        <v>142</v>
      </c>
      <c r="AC279">
        <v>155.69999999999999</v>
      </c>
      <c r="AD279">
        <v>158.1</v>
      </c>
      <c r="AE279">
        <v>146.19999999999999</v>
      </c>
      <c r="AF279">
        <v>155.19999999999999</v>
      </c>
      <c r="AG279">
        <v>2080.1999999999998</v>
      </c>
      <c r="AH279">
        <v>188.7</v>
      </c>
      <c r="AI279">
        <v>286.60000000000002</v>
      </c>
      <c r="AJ279">
        <v>743</v>
      </c>
      <c r="AK279">
        <v>151</v>
      </c>
      <c r="AL279">
        <v>135.4</v>
      </c>
      <c r="AM279">
        <v>142</v>
      </c>
      <c r="AN279">
        <v>155.69999999999999</v>
      </c>
    </row>
    <row r="280" spans="1:40" x14ac:dyDescent="0.25">
      <c r="A280" t="s">
        <v>33</v>
      </c>
      <c r="B280">
        <v>2020</v>
      </c>
      <c r="C280" t="s">
        <v>42</v>
      </c>
      <c r="D280" t="s">
        <v>204</v>
      </c>
      <c r="E280">
        <v>147.5</v>
      </c>
      <c r="F280">
        <v>188.9</v>
      </c>
      <c r="G280">
        <v>161.4</v>
      </c>
      <c r="H280">
        <v>153.6</v>
      </c>
      <c r="I280">
        <v>140.1</v>
      </c>
      <c r="J280">
        <v>151.19999999999999</v>
      </c>
      <c r="K280">
        <v>209.2</v>
      </c>
      <c r="L280">
        <v>150.9</v>
      </c>
      <c r="M280">
        <v>116.2</v>
      </c>
      <c r="N280">
        <v>161</v>
      </c>
      <c r="O280">
        <v>144</v>
      </c>
      <c r="P280">
        <v>163.19999999999999</v>
      </c>
      <c r="Q280">
        <v>161.4</v>
      </c>
      <c r="R280">
        <v>184.3</v>
      </c>
      <c r="S280">
        <v>153.69999999999999</v>
      </c>
      <c r="T280">
        <v>144.6</v>
      </c>
      <c r="U280">
        <v>152.30000000000001</v>
      </c>
      <c r="V280">
        <v>156.5</v>
      </c>
      <c r="W280">
        <v>156.5</v>
      </c>
      <c r="X280">
        <v>143.1</v>
      </c>
      <c r="Y280">
        <v>148.69999999999999</v>
      </c>
      <c r="Z280">
        <v>156.30000000000001</v>
      </c>
      <c r="AA280">
        <v>140.6</v>
      </c>
      <c r="AB280">
        <v>146.5</v>
      </c>
      <c r="AC280">
        <v>158.5</v>
      </c>
      <c r="AD280">
        <v>157</v>
      </c>
      <c r="AE280">
        <v>150.4</v>
      </c>
      <c r="AF280">
        <v>156.4</v>
      </c>
      <c r="AG280">
        <v>2048.6000000000004</v>
      </c>
      <c r="AH280">
        <v>184.3</v>
      </c>
      <c r="AI280">
        <v>298.29999999999995</v>
      </c>
      <c r="AJ280">
        <v>755.69999999999993</v>
      </c>
      <c r="AK280">
        <v>156.30000000000001</v>
      </c>
      <c r="AL280">
        <v>140.6</v>
      </c>
      <c r="AM280">
        <v>146.5</v>
      </c>
      <c r="AN280">
        <v>158.5</v>
      </c>
    </row>
    <row r="281" spans="1:40" x14ac:dyDescent="0.25">
      <c r="A281" t="s">
        <v>30</v>
      </c>
      <c r="B281">
        <v>2020</v>
      </c>
      <c r="C281" t="s">
        <v>44</v>
      </c>
      <c r="D281" t="s">
        <v>203</v>
      </c>
      <c r="E281">
        <v>145.4</v>
      </c>
      <c r="F281">
        <v>188.6</v>
      </c>
      <c r="G281">
        <v>171.6</v>
      </c>
      <c r="H281">
        <v>153.80000000000001</v>
      </c>
      <c r="I281">
        <v>145.4</v>
      </c>
      <c r="J281">
        <v>146.5</v>
      </c>
      <c r="K281">
        <v>222.2</v>
      </c>
      <c r="L281">
        <v>155.9</v>
      </c>
      <c r="M281">
        <v>114.9</v>
      </c>
      <c r="N281">
        <v>162</v>
      </c>
      <c r="O281">
        <v>150</v>
      </c>
      <c r="P281">
        <v>162.69999999999999</v>
      </c>
      <c r="Q281">
        <v>163.4</v>
      </c>
      <c r="R281">
        <v>183.4</v>
      </c>
      <c r="S281">
        <v>156.30000000000001</v>
      </c>
      <c r="T281">
        <v>151</v>
      </c>
      <c r="U281">
        <v>155.5</v>
      </c>
      <c r="V281" t="s">
        <v>47</v>
      </c>
      <c r="W281">
        <v>158</v>
      </c>
      <c r="X281">
        <v>147.5</v>
      </c>
      <c r="Y281">
        <v>152.80000000000001</v>
      </c>
      <c r="Z281">
        <v>160.4</v>
      </c>
      <c r="AA281">
        <v>146.1</v>
      </c>
      <c r="AB281">
        <v>153.6</v>
      </c>
      <c r="AC281">
        <v>161.6</v>
      </c>
      <c r="AD281">
        <v>156.19999999999999</v>
      </c>
      <c r="AE281">
        <v>154.5</v>
      </c>
      <c r="AF281">
        <v>159.80000000000001</v>
      </c>
      <c r="AG281">
        <v>2082.4</v>
      </c>
      <c r="AH281">
        <v>183.4</v>
      </c>
      <c r="AI281">
        <v>307.3</v>
      </c>
      <c r="AJ281">
        <v>769</v>
      </c>
      <c r="AK281">
        <v>160.4</v>
      </c>
      <c r="AL281">
        <v>146.1</v>
      </c>
      <c r="AM281">
        <v>153.6</v>
      </c>
      <c r="AN281">
        <v>161.6</v>
      </c>
    </row>
    <row r="282" spans="1:40" x14ac:dyDescent="0.25">
      <c r="A282" t="s">
        <v>32</v>
      </c>
      <c r="B282">
        <v>2020</v>
      </c>
      <c r="C282" t="s">
        <v>44</v>
      </c>
      <c r="D282" t="s">
        <v>203</v>
      </c>
      <c r="E282">
        <v>149.69999999999999</v>
      </c>
      <c r="F282">
        <v>195.5</v>
      </c>
      <c r="G282">
        <v>176.9</v>
      </c>
      <c r="H282">
        <v>153.9</v>
      </c>
      <c r="I282">
        <v>138</v>
      </c>
      <c r="J282">
        <v>150.5</v>
      </c>
      <c r="K282">
        <v>245.3</v>
      </c>
      <c r="L282">
        <v>158.69999999999999</v>
      </c>
      <c r="M282">
        <v>117.2</v>
      </c>
      <c r="N282">
        <v>161.4</v>
      </c>
      <c r="O282">
        <v>141.5</v>
      </c>
      <c r="P282">
        <v>165.1</v>
      </c>
      <c r="Q282">
        <v>167</v>
      </c>
      <c r="R282">
        <v>188.8</v>
      </c>
      <c r="S282">
        <v>151.1</v>
      </c>
      <c r="T282">
        <v>136.4</v>
      </c>
      <c r="U282">
        <v>148.80000000000001</v>
      </c>
      <c r="V282">
        <v>158</v>
      </c>
      <c r="W282">
        <v>158</v>
      </c>
      <c r="X282">
        <v>137.30000000000001</v>
      </c>
      <c r="Y282">
        <v>145.1</v>
      </c>
      <c r="Z282">
        <v>152</v>
      </c>
      <c r="AA282">
        <v>135.19999999999999</v>
      </c>
      <c r="AB282">
        <v>144.4</v>
      </c>
      <c r="AC282">
        <v>156.4</v>
      </c>
      <c r="AD282">
        <v>157.9</v>
      </c>
      <c r="AE282">
        <v>146.6</v>
      </c>
      <c r="AF282">
        <v>156.69999999999999</v>
      </c>
      <c r="AG282">
        <v>2120.6999999999998</v>
      </c>
      <c r="AH282">
        <v>188.8</v>
      </c>
      <c r="AI282">
        <v>287.5</v>
      </c>
      <c r="AJ282">
        <v>744.9</v>
      </c>
      <c r="AK282">
        <v>152</v>
      </c>
      <c r="AL282">
        <v>135.19999999999999</v>
      </c>
      <c r="AM282">
        <v>144.4</v>
      </c>
      <c r="AN282">
        <v>156.4</v>
      </c>
    </row>
    <row r="283" spans="1:40" x14ac:dyDescent="0.25">
      <c r="A283" t="s">
        <v>33</v>
      </c>
      <c r="B283">
        <v>2020</v>
      </c>
      <c r="C283" t="s">
        <v>44</v>
      </c>
      <c r="D283" t="s">
        <v>203</v>
      </c>
      <c r="E283">
        <v>146.80000000000001</v>
      </c>
      <c r="F283">
        <v>191</v>
      </c>
      <c r="G283">
        <v>173.6</v>
      </c>
      <c r="H283">
        <v>153.80000000000001</v>
      </c>
      <c r="I283">
        <v>142.69999999999999</v>
      </c>
      <c r="J283">
        <v>148.4</v>
      </c>
      <c r="K283">
        <v>230</v>
      </c>
      <c r="L283">
        <v>156.80000000000001</v>
      </c>
      <c r="M283">
        <v>115.7</v>
      </c>
      <c r="N283">
        <v>161.80000000000001</v>
      </c>
      <c r="O283">
        <v>146.5</v>
      </c>
      <c r="P283">
        <v>163.80000000000001</v>
      </c>
      <c r="Q283">
        <v>164.7</v>
      </c>
      <c r="R283">
        <v>184.8</v>
      </c>
      <c r="S283">
        <v>154.30000000000001</v>
      </c>
      <c r="T283">
        <v>144.9</v>
      </c>
      <c r="U283">
        <v>152.80000000000001</v>
      </c>
      <c r="V283">
        <v>158</v>
      </c>
      <c r="W283">
        <v>158</v>
      </c>
      <c r="X283">
        <v>143.6</v>
      </c>
      <c r="Y283">
        <v>149.19999999999999</v>
      </c>
      <c r="Z283">
        <v>157.19999999999999</v>
      </c>
      <c r="AA283">
        <v>140.4</v>
      </c>
      <c r="AB283">
        <v>148.4</v>
      </c>
      <c r="AC283">
        <v>158.6</v>
      </c>
      <c r="AD283">
        <v>156.9</v>
      </c>
      <c r="AE283">
        <v>150.69999999999999</v>
      </c>
      <c r="AF283">
        <v>158.4</v>
      </c>
      <c r="AG283">
        <v>2095.6</v>
      </c>
      <c r="AH283">
        <v>184.8</v>
      </c>
      <c r="AI283">
        <v>299.20000000000005</v>
      </c>
      <c r="AJ283">
        <v>758.40000000000009</v>
      </c>
      <c r="AK283">
        <v>157.19999999999999</v>
      </c>
      <c r="AL283">
        <v>140.4</v>
      </c>
      <c r="AM283">
        <v>148.4</v>
      </c>
      <c r="AN283">
        <v>158.6</v>
      </c>
    </row>
    <row r="284" spans="1:40" x14ac:dyDescent="0.25">
      <c r="A284" t="s">
        <v>30</v>
      </c>
      <c r="B284">
        <v>2020</v>
      </c>
      <c r="C284" t="s">
        <v>45</v>
      </c>
      <c r="D284" t="s">
        <v>196</v>
      </c>
      <c r="E284">
        <v>144.6</v>
      </c>
      <c r="F284">
        <v>188.5</v>
      </c>
      <c r="G284">
        <v>173.4</v>
      </c>
      <c r="H284">
        <v>154</v>
      </c>
      <c r="I284">
        <v>150</v>
      </c>
      <c r="J284">
        <v>145.9</v>
      </c>
      <c r="K284">
        <v>225.2</v>
      </c>
      <c r="L284">
        <v>159.5</v>
      </c>
      <c r="M284">
        <v>114.4</v>
      </c>
      <c r="N284">
        <v>163.5</v>
      </c>
      <c r="O284">
        <v>153.4</v>
      </c>
      <c r="P284">
        <v>163.6</v>
      </c>
      <c r="Q284">
        <v>164.5</v>
      </c>
      <c r="R284">
        <v>183.6</v>
      </c>
      <c r="S284">
        <v>157</v>
      </c>
      <c r="T284">
        <v>151.6</v>
      </c>
      <c r="U284">
        <v>156.30000000000001</v>
      </c>
      <c r="V284" t="s">
        <v>47</v>
      </c>
      <c r="W284">
        <v>158.4</v>
      </c>
      <c r="X284">
        <v>148.69999999999999</v>
      </c>
      <c r="Y284">
        <v>153.4</v>
      </c>
      <c r="Z284">
        <v>161.6</v>
      </c>
      <c r="AA284">
        <v>146.4</v>
      </c>
      <c r="AB284">
        <v>153.9</v>
      </c>
      <c r="AC284">
        <v>162.9</v>
      </c>
      <c r="AD284">
        <v>156.6</v>
      </c>
      <c r="AE284">
        <v>155.19999999999999</v>
      </c>
      <c r="AF284">
        <v>160.69999999999999</v>
      </c>
      <c r="AG284">
        <v>2100.5</v>
      </c>
      <c r="AH284">
        <v>183.6</v>
      </c>
      <c r="AI284">
        <v>308.60000000000002</v>
      </c>
      <c r="AJ284">
        <v>772.3</v>
      </c>
      <c r="AK284">
        <v>161.6</v>
      </c>
      <c r="AL284">
        <v>146.4</v>
      </c>
      <c r="AM284">
        <v>153.9</v>
      </c>
      <c r="AN284">
        <v>162.9</v>
      </c>
    </row>
    <row r="285" spans="1:40" x14ac:dyDescent="0.25">
      <c r="A285" t="s">
        <v>32</v>
      </c>
      <c r="B285">
        <v>2020</v>
      </c>
      <c r="C285" t="s">
        <v>45</v>
      </c>
      <c r="D285" t="s">
        <v>196</v>
      </c>
      <c r="E285">
        <v>149</v>
      </c>
      <c r="F285">
        <v>195.7</v>
      </c>
      <c r="G285">
        <v>178.3</v>
      </c>
      <c r="H285">
        <v>154.19999999999999</v>
      </c>
      <c r="I285">
        <v>140.69999999999999</v>
      </c>
      <c r="J285">
        <v>149.69999999999999</v>
      </c>
      <c r="K285">
        <v>240.9</v>
      </c>
      <c r="L285">
        <v>161.5</v>
      </c>
      <c r="M285">
        <v>117.1</v>
      </c>
      <c r="N285">
        <v>161.9</v>
      </c>
      <c r="O285">
        <v>143.30000000000001</v>
      </c>
      <c r="P285">
        <v>166.1</v>
      </c>
      <c r="Q285">
        <v>167</v>
      </c>
      <c r="R285">
        <v>190.2</v>
      </c>
      <c r="S285">
        <v>151.9</v>
      </c>
      <c r="T285">
        <v>136.69999999999999</v>
      </c>
      <c r="U285">
        <v>149.6</v>
      </c>
      <c r="V285">
        <v>158.4</v>
      </c>
      <c r="W285">
        <v>158.4</v>
      </c>
      <c r="X285">
        <v>137.9</v>
      </c>
      <c r="Y285">
        <v>145.5</v>
      </c>
      <c r="Z285">
        <v>152.9</v>
      </c>
      <c r="AA285">
        <v>135.5</v>
      </c>
      <c r="AB285">
        <v>144.30000000000001</v>
      </c>
      <c r="AC285">
        <v>156.9</v>
      </c>
      <c r="AD285">
        <v>157.9</v>
      </c>
      <c r="AE285">
        <v>146.9</v>
      </c>
      <c r="AF285">
        <v>156.9</v>
      </c>
      <c r="AG285">
        <v>2125.4</v>
      </c>
      <c r="AH285">
        <v>190.2</v>
      </c>
      <c r="AI285">
        <v>288.60000000000002</v>
      </c>
      <c r="AJ285">
        <v>746.6</v>
      </c>
      <c r="AK285">
        <v>152.9</v>
      </c>
      <c r="AL285">
        <v>135.5</v>
      </c>
      <c r="AM285">
        <v>144.30000000000001</v>
      </c>
      <c r="AN285">
        <v>156.9</v>
      </c>
    </row>
    <row r="286" spans="1:40" x14ac:dyDescent="0.25">
      <c r="A286" t="s">
        <v>33</v>
      </c>
      <c r="B286">
        <v>2020</v>
      </c>
      <c r="C286" t="s">
        <v>45</v>
      </c>
      <c r="D286" t="s">
        <v>196</v>
      </c>
      <c r="E286">
        <v>146</v>
      </c>
      <c r="F286">
        <v>191</v>
      </c>
      <c r="G286">
        <v>175.3</v>
      </c>
      <c r="H286">
        <v>154.1</v>
      </c>
      <c r="I286">
        <v>146.6</v>
      </c>
      <c r="J286">
        <v>147.69999999999999</v>
      </c>
      <c r="K286">
        <v>230.5</v>
      </c>
      <c r="L286">
        <v>160.19999999999999</v>
      </c>
      <c r="M286">
        <v>115.3</v>
      </c>
      <c r="N286">
        <v>163</v>
      </c>
      <c r="O286">
        <v>149.19999999999999</v>
      </c>
      <c r="P286">
        <v>164.8</v>
      </c>
      <c r="Q286">
        <v>165.4</v>
      </c>
      <c r="R286">
        <v>185.4</v>
      </c>
      <c r="S286">
        <v>155</v>
      </c>
      <c r="T286">
        <v>145.4</v>
      </c>
      <c r="U286">
        <v>153.6</v>
      </c>
      <c r="V286">
        <v>158.4</v>
      </c>
      <c r="W286">
        <v>158.4</v>
      </c>
      <c r="X286">
        <v>144.6</v>
      </c>
      <c r="Y286">
        <v>149.69999999999999</v>
      </c>
      <c r="Z286">
        <v>158.30000000000001</v>
      </c>
      <c r="AA286">
        <v>140.69999999999999</v>
      </c>
      <c r="AB286">
        <v>148.5</v>
      </c>
      <c r="AC286">
        <v>159.4</v>
      </c>
      <c r="AD286">
        <v>157.1</v>
      </c>
      <c r="AE286">
        <v>151.19999999999999</v>
      </c>
      <c r="AF286">
        <v>158.9</v>
      </c>
      <c r="AG286">
        <v>2109.1</v>
      </c>
      <c r="AH286">
        <v>185.4</v>
      </c>
      <c r="AI286">
        <v>300.39999999999998</v>
      </c>
      <c r="AJ286">
        <v>761</v>
      </c>
      <c r="AK286">
        <v>158.30000000000001</v>
      </c>
      <c r="AL286">
        <v>140.69999999999999</v>
      </c>
      <c r="AM286">
        <v>148.5</v>
      </c>
      <c r="AN286">
        <v>159.4</v>
      </c>
    </row>
    <row r="287" spans="1:40" x14ac:dyDescent="0.25">
      <c r="A287" t="s">
        <v>30</v>
      </c>
      <c r="B287">
        <v>2021</v>
      </c>
      <c r="C287" t="s">
        <v>31</v>
      </c>
      <c r="D287" t="s">
        <v>210</v>
      </c>
      <c r="E287">
        <v>143.4</v>
      </c>
      <c r="F287">
        <v>187.5</v>
      </c>
      <c r="G287">
        <v>173.4</v>
      </c>
      <c r="H287">
        <v>154</v>
      </c>
      <c r="I287">
        <v>154.80000000000001</v>
      </c>
      <c r="J287">
        <v>147</v>
      </c>
      <c r="K287">
        <v>187.8</v>
      </c>
      <c r="L287">
        <v>159.5</v>
      </c>
      <c r="M287">
        <v>113.8</v>
      </c>
      <c r="N287">
        <v>164.5</v>
      </c>
      <c r="O287">
        <v>156.1</v>
      </c>
      <c r="P287">
        <v>164.3</v>
      </c>
      <c r="Q287">
        <v>159.6</v>
      </c>
      <c r="R287">
        <v>184.6</v>
      </c>
      <c r="S287">
        <v>157.5</v>
      </c>
      <c r="T287">
        <v>152.4</v>
      </c>
      <c r="U287">
        <v>156.80000000000001</v>
      </c>
      <c r="V287" t="s">
        <v>47</v>
      </c>
      <c r="W287">
        <v>157.69999999999999</v>
      </c>
      <c r="X287">
        <v>150.9</v>
      </c>
      <c r="Y287">
        <v>153.9</v>
      </c>
      <c r="Z287">
        <v>162.5</v>
      </c>
      <c r="AA287">
        <v>147.5</v>
      </c>
      <c r="AB287">
        <v>155.1</v>
      </c>
      <c r="AC287">
        <v>163.5</v>
      </c>
      <c r="AD287">
        <v>156.19999999999999</v>
      </c>
      <c r="AE287">
        <v>155.9</v>
      </c>
      <c r="AF287">
        <v>158.5</v>
      </c>
      <c r="AG287">
        <v>2065.6999999999998</v>
      </c>
      <c r="AH287">
        <v>184.6</v>
      </c>
      <c r="AI287">
        <v>309.89999999999998</v>
      </c>
      <c r="AJ287">
        <v>774.6</v>
      </c>
      <c r="AK287">
        <v>162.5</v>
      </c>
      <c r="AL287">
        <v>147.5</v>
      </c>
      <c r="AM287">
        <v>155.1</v>
      </c>
      <c r="AN287">
        <v>163.5</v>
      </c>
    </row>
    <row r="288" spans="1:40" x14ac:dyDescent="0.25">
      <c r="A288" t="s">
        <v>32</v>
      </c>
      <c r="B288">
        <v>2021</v>
      </c>
      <c r="C288" t="s">
        <v>31</v>
      </c>
      <c r="D288" t="s">
        <v>210</v>
      </c>
      <c r="E288">
        <v>148</v>
      </c>
      <c r="F288">
        <v>194.8</v>
      </c>
      <c r="G288">
        <v>178.4</v>
      </c>
      <c r="H288">
        <v>154.4</v>
      </c>
      <c r="I288">
        <v>144.1</v>
      </c>
      <c r="J288">
        <v>152.6</v>
      </c>
      <c r="K288">
        <v>206.8</v>
      </c>
      <c r="L288">
        <v>162.1</v>
      </c>
      <c r="M288">
        <v>116.3</v>
      </c>
      <c r="N288">
        <v>163</v>
      </c>
      <c r="O288">
        <v>145.9</v>
      </c>
      <c r="P288">
        <v>167.2</v>
      </c>
      <c r="Q288">
        <v>163.4</v>
      </c>
      <c r="R288">
        <v>191.8</v>
      </c>
      <c r="S288">
        <v>152.5</v>
      </c>
      <c r="T288">
        <v>137.30000000000001</v>
      </c>
      <c r="U288">
        <v>150.19999999999999</v>
      </c>
      <c r="V288">
        <v>157.69999999999999</v>
      </c>
      <c r="W288">
        <v>157.69999999999999</v>
      </c>
      <c r="X288">
        <v>142.9</v>
      </c>
      <c r="Y288">
        <v>145.69999999999999</v>
      </c>
      <c r="Z288">
        <v>154.1</v>
      </c>
      <c r="AA288">
        <v>136.9</v>
      </c>
      <c r="AB288">
        <v>145.4</v>
      </c>
      <c r="AC288">
        <v>156.1</v>
      </c>
      <c r="AD288">
        <v>157.69999999999999</v>
      </c>
      <c r="AE288">
        <v>147.6</v>
      </c>
      <c r="AF288">
        <v>156</v>
      </c>
      <c r="AG288">
        <v>2097</v>
      </c>
      <c r="AH288">
        <v>191.8</v>
      </c>
      <c r="AI288">
        <v>289.8</v>
      </c>
      <c r="AJ288">
        <v>751.6</v>
      </c>
      <c r="AK288">
        <v>154.1</v>
      </c>
      <c r="AL288">
        <v>136.9</v>
      </c>
      <c r="AM288">
        <v>145.4</v>
      </c>
      <c r="AN288">
        <v>156.1</v>
      </c>
    </row>
    <row r="289" spans="1:40" x14ac:dyDescent="0.25">
      <c r="A289" t="s">
        <v>33</v>
      </c>
      <c r="B289">
        <v>2021</v>
      </c>
      <c r="C289" t="s">
        <v>31</v>
      </c>
      <c r="D289" t="s">
        <v>210</v>
      </c>
      <c r="E289">
        <v>144.9</v>
      </c>
      <c r="F289">
        <v>190.1</v>
      </c>
      <c r="G289">
        <v>175.3</v>
      </c>
      <c r="H289">
        <v>154.1</v>
      </c>
      <c r="I289">
        <v>150.9</v>
      </c>
      <c r="J289">
        <v>149.6</v>
      </c>
      <c r="K289">
        <v>194.2</v>
      </c>
      <c r="L289">
        <v>160.4</v>
      </c>
      <c r="M289">
        <v>114.6</v>
      </c>
      <c r="N289">
        <v>164</v>
      </c>
      <c r="O289">
        <v>151.80000000000001</v>
      </c>
      <c r="P289">
        <v>165.6</v>
      </c>
      <c r="Q289">
        <v>161</v>
      </c>
      <c r="R289">
        <v>186.5</v>
      </c>
      <c r="S289">
        <v>155.5</v>
      </c>
      <c r="T289">
        <v>146.1</v>
      </c>
      <c r="U289">
        <v>154.19999999999999</v>
      </c>
      <c r="V289">
        <v>157.69999999999999</v>
      </c>
      <c r="W289">
        <v>157.69999999999999</v>
      </c>
      <c r="X289">
        <v>147.9</v>
      </c>
      <c r="Y289">
        <v>150</v>
      </c>
      <c r="Z289">
        <v>159.30000000000001</v>
      </c>
      <c r="AA289">
        <v>141.9</v>
      </c>
      <c r="AB289">
        <v>149.6</v>
      </c>
      <c r="AC289">
        <v>159.19999999999999</v>
      </c>
      <c r="AD289">
        <v>156.80000000000001</v>
      </c>
      <c r="AE289">
        <v>151.9</v>
      </c>
      <c r="AF289">
        <v>157.30000000000001</v>
      </c>
      <c r="AG289">
        <v>2076.5</v>
      </c>
      <c r="AH289">
        <v>186.5</v>
      </c>
      <c r="AI289">
        <v>301.60000000000002</v>
      </c>
      <c r="AJ289">
        <v>764.30000000000007</v>
      </c>
      <c r="AK289">
        <v>159.30000000000001</v>
      </c>
      <c r="AL289">
        <v>141.9</v>
      </c>
      <c r="AM289">
        <v>149.6</v>
      </c>
      <c r="AN289">
        <v>159.19999999999999</v>
      </c>
    </row>
    <row r="290" spans="1:40" x14ac:dyDescent="0.25">
      <c r="A290" t="s">
        <v>30</v>
      </c>
      <c r="B290">
        <v>2021</v>
      </c>
      <c r="C290" t="s">
        <v>34</v>
      </c>
      <c r="D290" t="s">
        <v>209</v>
      </c>
      <c r="E290">
        <v>142.80000000000001</v>
      </c>
      <c r="F290">
        <v>184</v>
      </c>
      <c r="G290">
        <v>168</v>
      </c>
      <c r="H290">
        <v>154.4</v>
      </c>
      <c r="I290">
        <v>163</v>
      </c>
      <c r="J290">
        <v>147.80000000000001</v>
      </c>
      <c r="K290">
        <v>149.69999999999999</v>
      </c>
      <c r="L290">
        <v>158.30000000000001</v>
      </c>
      <c r="M290">
        <v>111.8</v>
      </c>
      <c r="N290">
        <v>165</v>
      </c>
      <c r="O290">
        <v>160</v>
      </c>
      <c r="P290">
        <v>165.8</v>
      </c>
      <c r="Q290">
        <v>154.69999999999999</v>
      </c>
      <c r="R290">
        <v>186.5</v>
      </c>
      <c r="S290">
        <v>159.1</v>
      </c>
      <c r="T290">
        <v>153.9</v>
      </c>
      <c r="U290">
        <v>158.4</v>
      </c>
      <c r="V290" t="s">
        <v>47</v>
      </c>
      <c r="W290">
        <v>159.80000000000001</v>
      </c>
      <c r="X290">
        <v>154.4</v>
      </c>
      <c r="Y290">
        <v>154.80000000000001</v>
      </c>
      <c r="Z290">
        <v>164.3</v>
      </c>
      <c r="AA290">
        <v>150.19999999999999</v>
      </c>
      <c r="AB290">
        <v>157</v>
      </c>
      <c r="AC290">
        <v>163.6</v>
      </c>
      <c r="AD290">
        <v>155.19999999999999</v>
      </c>
      <c r="AE290">
        <v>157.19999999999999</v>
      </c>
      <c r="AF290">
        <v>156.69999999999999</v>
      </c>
      <c r="AG290">
        <v>2025.3</v>
      </c>
      <c r="AH290">
        <v>186.5</v>
      </c>
      <c r="AI290">
        <v>313</v>
      </c>
      <c r="AJ290">
        <v>781.40000000000009</v>
      </c>
      <c r="AK290">
        <v>164.3</v>
      </c>
      <c r="AL290">
        <v>150.19999999999999</v>
      </c>
      <c r="AM290">
        <v>157</v>
      </c>
      <c r="AN290">
        <v>163.6</v>
      </c>
    </row>
    <row r="291" spans="1:40" x14ac:dyDescent="0.25">
      <c r="A291" t="s">
        <v>32</v>
      </c>
      <c r="B291">
        <v>2021</v>
      </c>
      <c r="C291" t="s">
        <v>34</v>
      </c>
      <c r="D291" t="s">
        <v>209</v>
      </c>
      <c r="E291">
        <v>147.6</v>
      </c>
      <c r="F291">
        <v>191.2</v>
      </c>
      <c r="G291">
        <v>169.9</v>
      </c>
      <c r="H291">
        <v>155.1</v>
      </c>
      <c r="I291">
        <v>151.4</v>
      </c>
      <c r="J291">
        <v>154</v>
      </c>
      <c r="K291">
        <v>180.2</v>
      </c>
      <c r="L291">
        <v>159.80000000000001</v>
      </c>
      <c r="M291">
        <v>114.9</v>
      </c>
      <c r="N291">
        <v>162.5</v>
      </c>
      <c r="O291">
        <v>149.19999999999999</v>
      </c>
      <c r="P291">
        <v>169.4</v>
      </c>
      <c r="Q291">
        <v>160.80000000000001</v>
      </c>
      <c r="R291">
        <v>193.3</v>
      </c>
      <c r="S291">
        <v>154.19999999999999</v>
      </c>
      <c r="T291">
        <v>138.19999999999999</v>
      </c>
      <c r="U291">
        <v>151.80000000000001</v>
      </c>
      <c r="V291">
        <v>159.80000000000001</v>
      </c>
      <c r="W291">
        <v>159.80000000000001</v>
      </c>
      <c r="X291">
        <v>149.1</v>
      </c>
      <c r="Y291">
        <v>146.5</v>
      </c>
      <c r="Z291">
        <v>156.30000000000001</v>
      </c>
      <c r="AA291">
        <v>140.5</v>
      </c>
      <c r="AB291">
        <v>147.30000000000001</v>
      </c>
      <c r="AC291">
        <v>156.6</v>
      </c>
      <c r="AD291">
        <v>156.69999999999999</v>
      </c>
      <c r="AE291">
        <v>149.30000000000001</v>
      </c>
      <c r="AF291">
        <v>156.5</v>
      </c>
      <c r="AG291">
        <v>2066</v>
      </c>
      <c r="AH291">
        <v>193.3</v>
      </c>
      <c r="AI291">
        <v>292.39999999999998</v>
      </c>
      <c r="AJ291">
        <v>761.39999999999986</v>
      </c>
      <c r="AK291">
        <v>156.30000000000001</v>
      </c>
      <c r="AL291">
        <v>140.5</v>
      </c>
      <c r="AM291">
        <v>147.30000000000001</v>
      </c>
      <c r="AN291">
        <v>156.6</v>
      </c>
    </row>
    <row r="292" spans="1:40" x14ac:dyDescent="0.25">
      <c r="A292" t="s">
        <v>33</v>
      </c>
      <c r="B292">
        <v>2021</v>
      </c>
      <c r="C292" t="s">
        <v>34</v>
      </c>
      <c r="D292" t="s">
        <v>209</v>
      </c>
      <c r="E292">
        <v>144.30000000000001</v>
      </c>
      <c r="F292">
        <v>186.5</v>
      </c>
      <c r="G292">
        <v>168.7</v>
      </c>
      <c r="H292">
        <v>154.69999999999999</v>
      </c>
      <c r="I292">
        <v>158.69999999999999</v>
      </c>
      <c r="J292">
        <v>150.69999999999999</v>
      </c>
      <c r="K292">
        <v>160</v>
      </c>
      <c r="L292">
        <v>158.80000000000001</v>
      </c>
      <c r="M292">
        <v>112.8</v>
      </c>
      <c r="N292">
        <v>164.2</v>
      </c>
      <c r="O292">
        <v>155.5</v>
      </c>
      <c r="P292">
        <v>167.5</v>
      </c>
      <c r="Q292">
        <v>156.9</v>
      </c>
      <c r="R292">
        <v>188.3</v>
      </c>
      <c r="S292">
        <v>157.19999999999999</v>
      </c>
      <c r="T292">
        <v>147.4</v>
      </c>
      <c r="U292">
        <v>155.80000000000001</v>
      </c>
      <c r="V292">
        <v>159.80000000000001</v>
      </c>
      <c r="W292">
        <v>159.80000000000001</v>
      </c>
      <c r="X292">
        <v>152.4</v>
      </c>
      <c r="Y292">
        <v>150.9</v>
      </c>
      <c r="Z292">
        <v>161.30000000000001</v>
      </c>
      <c r="AA292">
        <v>145.1</v>
      </c>
      <c r="AB292">
        <v>151.5</v>
      </c>
      <c r="AC292">
        <v>159.5</v>
      </c>
      <c r="AD292">
        <v>155.80000000000001</v>
      </c>
      <c r="AE292">
        <v>153.4</v>
      </c>
      <c r="AF292">
        <v>156.6</v>
      </c>
      <c r="AG292">
        <v>2039.3000000000002</v>
      </c>
      <c r="AH292">
        <v>188.3</v>
      </c>
      <c r="AI292">
        <v>304.60000000000002</v>
      </c>
      <c r="AJ292">
        <v>772.30000000000007</v>
      </c>
      <c r="AK292">
        <v>161.30000000000001</v>
      </c>
      <c r="AL292">
        <v>145.1</v>
      </c>
      <c r="AM292">
        <v>151.5</v>
      </c>
      <c r="AN292">
        <v>159.5</v>
      </c>
    </row>
    <row r="293" spans="1:40" x14ac:dyDescent="0.25">
      <c r="A293" t="s">
        <v>30</v>
      </c>
      <c r="B293">
        <v>2021</v>
      </c>
      <c r="C293" t="s">
        <v>35</v>
      </c>
      <c r="D293" t="s">
        <v>213</v>
      </c>
      <c r="E293">
        <v>142.5</v>
      </c>
      <c r="F293">
        <v>189.4</v>
      </c>
      <c r="G293">
        <v>163.19999999999999</v>
      </c>
      <c r="H293">
        <v>154.5</v>
      </c>
      <c r="I293">
        <v>168.2</v>
      </c>
      <c r="J293">
        <v>150.5</v>
      </c>
      <c r="K293">
        <v>141</v>
      </c>
      <c r="L293">
        <v>159.19999999999999</v>
      </c>
      <c r="M293">
        <v>111.7</v>
      </c>
      <c r="N293">
        <v>164</v>
      </c>
      <c r="O293">
        <v>160.6</v>
      </c>
      <c r="P293">
        <v>166.4</v>
      </c>
      <c r="Q293">
        <v>154.5</v>
      </c>
      <c r="R293">
        <v>186.1</v>
      </c>
      <c r="S293">
        <v>159.6</v>
      </c>
      <c r="T293">
        <v>154.4</v>
      </c>
      <c r="U293">
        <v>158.9</v>
      </c>
      <c r="V293" t="s">
        <v>48</v>
      </c>
      <c r="W293">
        <v>159.9</v>
      </c>
      <c r="X293">
        <v>156</v>
      </c>
      <c r="Y293">
        <v>154.80000000000001</v>
      </c>
      <c r="Z293">
        <v>164.6</v>
      </c>
      <c r="AA293">
        <v>151.30000000000001</v>
      </c>
      <c r="AB293">
        <v>157.80000000000001</v>
      </c>
      <c r="AC293">
        <v>163.80000000000001</v>
      </c>
      <c r="AD293">
        <v>153.1</v>
      </c>
      <c r="AE293">
        <v>157.30000000000001</v>
      </c>
      <c r="AF293">
        <v>156.69999999999999</v>
      </c>
      <c r="AG293">
        <v>2025.7</v>
      </c>
      <c r="AH293">
        <v>186.1</v>
      </c>
      <c r="AI293">
        <v>314</v>
      </c>
      <c r="AJ293">
        <v>781.09999999999991</v>
      </c>
      <c r="AK293">
        <v>164.6</v>
      </c>
      <c r="AL293">
        <v>151.30000000000001</v>
      </c>
      <c r="AM293">
        <v>157.80000000000001</v>
      </c>
      <c r="AN293">
        <v>163.80000000000001</v>
      </c>
    </row>
    <row r="294" spans="1:40" x14ac:dyDescent="0.25">
      <c r="A294" t="s">
        <v>32</v>
      </c>
      <c r="B294">
        <v>2021</v>
      </c>
      <c r="C294" t="s">
        <v>35</v>
      </c>
      <c r="D294" t="s">
        <v>213</v>
      </c>
      <c r="E294">
        <v>147.5</v>
      </c>
      <c r="F294">
        <v>197.5</v>
      </c>
      <c r="G294">
        <v>164.7</v>
      </c>
      <c r="H294">
        <v>155.6</v>
      </c>
      <c r="I294">
        <v>156.4</v>
      </c>
      <c r="J294">
        <v>157.30000000000001</v>
      </c>
      <c r="K294">
        <v>166.1</v>
      </c>
      <c r="L294">
        <v>161.1</v>
      </c>
      <c r="M294">
        <v>114.3</v>
      </c>
      <c r="N294">
        <v>162.6</v>
      </c>
      <c r="O294">
        <v>150.69999999999999</v>
      </c>
      <c r="P294">
        <v>170.3</v>
      </c>
      <c r="Q294">
        <v>160.4</v>
      </c>
      <c r="R294">
        <v>193.5</v>
      </c>
      <c r="S294">
        <v>155.1</v>
      </c>
      <c r="T294">
        <v>138.69999999999999</v>
      </c>
      <c r="U294">
        <v>152.6</v>
      </c>
      <c r="V294">
        <v>159.9</v>
      </c>
      <c r="W294">
        <v>159.9</v>
      </c>
      <c r="X294">
        <v>154.80000000000001</v>
      </c>
      <c r="Y294">
        <v>147.19999999999999</v>
      </c>
      <c r="Z294">
        <v>156.9</v>
      </c>
      <c r="AA294">
        <v>141.69999999999999</v>
      </c>
      <c r="AB294">
        <v>148.6</v>
      </c>
      <c r="AC294">
        <v>157.6</v>
      </c>
      <c r="AD294">
        <v>154.9</v>
      </c>
      <c r="AE294">
        <v>150</v>
      </c>
      <c r="AF294">
        <v>156.9</v>
      </c>
      <c r="AG294">
        <v>2064.4999999999995</v>
      </c>
      <c r="AH294">
        <v>193.5</v>
      </c>
      <c r="AI294">
        <v>293.79999999999995</v>
      </c>
      <c r="AJ294">
        <v>766.80000000000007</v>
      </c>
      <c r="AK294">
        <v>156.9</v>
      </c>
      <c r="AL294">
        <v>141.69999999999999</v>
      </c>
      <c r="AM294">
        <v>148.6</v>
      </c>
      <c r="AN294">
        <v>157.6</v>
      </c>
    </row>
    <row r="295" spans="1:40" x14ac:dyDescent="0.25">
      <c r="A295" t="s">
        <v>33</v>
      </c>
      <c r="B295">
        <v>2021</v>
      </c>
      <c r="C295" t="s">
        <v>35</v>
      </c>
      <c r="D295" t="s">
        <v>213</v>
      </c>
      <c r="E295">
        <v>144.1</v>
      </c>
      <c r="F295">
        <v>192.2</v>
      </c>
      <c r="G295">
        <v>163.80000000000001</v>
      </c>
      <c r="H295">
        <v>154.9</v>
      </c>
      <c r="I295">
        <v>163.9</v>
      </c>
      <c r="J295">
        <v>153.69999999999999</v>
      </c>
      <c r="K295">
        <v>149.5</v>
      </c>
      <c r="L295">
        <v>159.80000000000001</v>
      </c>
      <c r="M295">
        <v>112.6</v>
      </c>
      <c r="N295">
        <v>163.5</v>
      </c>
      <c r="O295">
        <v>156.5</v>
      </c>
      <c r="P295">
        <v>168.2</v>
      </c>
      <c r="Q295">
        <v>156.69999999999999</v>
      </c>
      <c r="R295">
        <v>188.1</v>
      </c>
      <c r="S295">
        <v>157.80000000000001</v>
      </c>
      <c r="T295">
        <v>147.9</v>
      </c>
      <c r="U295">
        <v>156.4</v>
      </c>
      <c r="V295">
        <v>159.9</v>
      </c>
      <c r="W295">
        <v>159.9</v>
      </c>
      <c r="X295">
        <v>155.5</v>
      </c>
      <c r="Y295">
        <v>151.19999999999999</v>
      </c>
      <c r="Z295">
        <v>161.69999999999999</v>
      </c>
      <c r="AA295">
        <v>146.19999999999999</v>
      </c>
      <c r="AB295">
        <v>152.6</v>
      </c>
      <c r="AC295">
        <v>160.19999999999999</v>
      </c>
      <c r="AD295">
        <v>153.80000000000001</v>
      </c>
      <c r="AE295">
        <v>153.80000000000001</v>
      </c>
      <c r="AF295">
        <v>156.80000000000001</v>
      </c>
      <c r="AG295">
        <v>2039.3999999999999</v>
      </c>
      <c r="AH295">
        <v>188.1</v>
      </c>
      <c r="AI295">
        <v>305.70000000000005</v>
      </c>
      <c r="AJ295">
        <v>774.2</v>
      </c>
      <c r="AK295">
        <v>161.69999999999999</v>
      </c>
      <c r="AL295">
        <v>146.19999999999999</v>
      </c>
      <c r="AM295">
        <v>152.6</v>
      </c>
      <c r="AN295">
        <v>160.19999999999999</v>
      </c>
    </row>
    <row r="296" spans="1:40" x14ac:dyDescent="0.25">
      <c r="A296" t="s">
        <v>30</v>
      </c>
      <c r="B296">
        <v>2021</v>
      </c>
      <c r="C296" t="s">
        <v>36</v>
      </c>
      <c r="D296" t="s">
        <v>206</v>
      </c>
      <c r="E296">
        <v>142.69999999999999</v>
      </c>
      <c r="F296">
        <v>195.5</v>
      </c>
      <c r="G296">
        <v>163.4</v>
      </c>
      <c r="H296">
        <v>155</v>
      </c>
      <c r="I296">
        <v>175.2</v>
      </c>
      <c r="J296">
        <v>160.6</v>
      </c>
      <c r="K296">
        <v>135.1</v>
      </c>
      <c r="L296">
        <v>161.1</v>
      </c>
      <c r="M296">
        <v>112.2</v>
      </c>
      <c r="N296">
        <v>164.4</v>
      </c>
      <c r="O296">
        <v>161.9</v>
      </c>
      <c r="P296">
        <v>166.8</v>
      </c>
      <c r="Q296">
        <v>155.6</v>
      </c>
      <c r="R296">
        <v>186.8</v>
      </c>
      <c r="S296">
        <v>160.69999999999999</v>
      </c>
      <c r="T296">
        <v>155.1</v>
      </c>
      <c r="U296">
        <v>159.9</v>
      </c>
      <c r="V296" t="s">
        <v>48</v>
      </c>
      <c r="W296">
        <v>159.9</v>
      </c>
      <c r="X296">
        <v>156</v>
      </c>
      <c r="Y296">
        <v>155.5</v>
      </c>
      <c r="Z296">
        <v>165.3</v>
      </c>
      <c r="AA296">
        <v>151.69999999999999</v>
      </c>
      <c r="AB296">
        <v>158.6</v>
      </c>
      <c r="AC296">
        <v>164.1</v>
      </c>
      <c r="AD296">
        <v>154.6</v>
      </c>
      <c r="AE296">
        <v>158</v>
      </c>
      <c r="AF296">
        <v>157.6</v>
      </c>
      <c r="AG296">
        <v>2049.5</v>
      </c>
      <c r="AH296">
        <v>186.8</v>
      </c>
      <c r="AI296">
        <v>315.79999999999995</v>
      </c>
      <c r="AJ296">
        <v>784</v>
      </c>
      <c r="AK296">
        <v>165.3</v>
      </c>
      <c r="AL296">
        <v>151.69999999999999</v>
      </c>
      <c r="AM296">
        <v>158.6</v>
      </c>
      <c r="AN296">
        <v>164.1</v>
      </c>
    </row>
    <row r="297" spans="1:40" x14ac:dyDescent="0.25">
      <c r="A297" t="s">
        <v>32</v>
      </c>
      <c r="B297">
        <v>2021</v>
      </c>
      <c r="C297" t="s">
        <v>36</v>
      </c>
      <c r="D297" t="s">
        <v>206</v>
      </c>
      <c r="E297">
        <v>147.6</v>
      </c>
      <c r="F297">
        <v>202.5</v>
      </c>
      <c r="G297">
        <v>166.4</v>
      </c>
      <c r="H297">
        <v>156</v>
      </c>
      <c r="I297">
        <v>161.4</v>
      </c>
      <c r="J297">
        <v>168.8</v>
      </c>
      <c r="K297">
        <v>161.6</v>
      </c>
      <c r="L297">
        <v>162.80000000000001</v>
      </c>
      <c r="M297">
        <v>114.8</v>
      </c>
      <c r="N297">
        <v>162.80000000000001</v>
      </c>
      <c r="O297">
        <v>151.5</v>
      </c>
      <c r="P297">
        <v>171.4</v>
      </c>
      <c r="Q297">
        <v>162</v>
      </c>
      <c r="R297">
        <v>194.4</v>
      </c>
      <c r="S297">
        <v>155.9</v>
      </c>
      <c r="T297">
        <v>139.30000000000001</v>
      </c>
      <c r="U297">
        <v>153.4</v>
      </c>
      <c r="V297">
        <v>161.4</v>
      </c>
      <c r="W297">
        <v>161.4</v>
      </c>
      <c r="X297">
        <v>154.9</v>
      </c>
      <c r="Y297">
        <v>147.6</v>
      </c>
      <c r="Z297">
        <v>157.5</v>
      </c>
      <c r="AA297">
        <v>142.1</v>
      </c>
      <c r="AB297">
        <v>149.1</v>
      </c>
      <c r="AC297">
        <v>157.6</v>
      </c>
      <c r="AD297">
        <v>156.6</v>
      </c>
      <c r="AE297">
        <v>150.5</v>
      </c>
      <c r="AF297">
        <v>158</v>
      </c>
      <c r="AG297">
        <v>2089.6</v>
      </c>
      <c r="AH297">
        <v>194.4</v>
      </c>
      <c r="AI297">
        <v>295.20000000000005</v>
      </c>
      <c r="AJ297">
        <v>771</v>
      </c>
      <c r="AK297">
        <v>157.5</v>
      </c>
      <c r="AL297">
        <v>142.1</v>
      </c>
      <c r="AM297">
        <v>149.1</v>
      </c>
      <c r="AN297">
        <v>157.6</v>
      </c>
    </row>
    <row r="298" spans="1:40" x14ac:dyDescent="0.25">
      <c r="A298" t="s">
        <v>33</v>
      </c>
      <c r="B298">
        <v>2021</v>
      </c>
      <c r="C298" t="s">
        <v>36</v>
      </c>
      <c r="D298" t="s">
        <v>206</v>
      </c>
      <c r="E298">
        <v>144.30000000000001</v>
      </c>
      <c r="F298">
        <v>198</v>
      </c>
      <c r="G298">
        <v>164.6</v>
      </c>
      <c r="H298">
        <v>155.4</v>
      </c>
      <c r="I298">
        <v>170.1</v>
      </c>
      <c r="J298">
        <v>164.4</v>
      </c>
      <c r="K298">
        <v>144.1</v>
      </c>
      <c r="L298">
        <v>161.69999999999999</v>
      </c>
      <c r="M298">
        <v>113.1</v>
      </c>
      <c r="N298">
        <v>163.9</v>
      </c>
      <c r="O298">
        <v>157.6</v>
      </c>
      <c r="P298">
        <v>168.9</v>
      </c>
      <c r="Q298">
        <v>158</v>
      </c>
      <c r="R298">
        <v>188.8</v>
      </c>
      <c r="S298">
        <v>158.80000000000001</v>
      </c>
      <c r="T298">
        <v>148.5</v>
      </c>
      <c r="U298">
        <v>157.30000000000001</v>
      </c>
      <c r="V298">
        <v>161.4</v>
      </c>
      <c r="W298">
        <v>161.4</v>
      </c>
      <c r="X298">
        <v>155.6</v>
      </c>
      <c r="Y298">
        <v>151.80000000000001</v>
      </c>
      <c r="Z298">
        <v>162.30000000000001</v>
      </c>
      <c r="AA298">
        <v>146.6</v>
      </c>
      <c r="AB298">
        <v>153.19999999999999</v>
      </c>
      <c r="AC298">
        <v>160.30000000000001</v>
      </c>
      <c r="AD298">
        <v>155.4</v>
      </c>
      <c r="AE298">
        <v>154.4</v>
      </c>
      <c r="AF298">
        <v>157.80000000000001</v>
      </c>
      <c r="AG298">
        <v>2064.1</v>
      </c>
      <c r="AH298">
        <v>188.8</v>
      </c>
      <c r="AI298">
        <v>307.3</v>
      </c>
      <c r="AJ298">
        <v>778.6</v>
      </c>
      <c r="AK298">
        <v>162.30000000000001</v>
      </c>
      <c r="AL298">
        <v>146.6</v>
      </c>
      <c r="AM298">
        <v>153.19999999999999</v>
      </c>
      <c r="AN298">
        <v>160.30000000000001</v>
      </c>
    </row>
    <row r="299" spans="1:40" x14ac:dyDescent="0.25">
      <c r="A299" t="s">
        <v>30</v>
      </c>
      <c r="B299">
        <v>2021</v>
      </c>
      <c r="C299" t="s">
        <v>37</v>
      </c>
      <c r="D299" t="s">
        <v>214</v>
      </c>
      <c r="E299">
        <v>145.1</v>
      </c>
      <c r="F299">
        <v>198.5</v>
      </c>
      <c r="G299">
        <v>168.6</v>
      </c>
      <c r="H299">
        <v>155.80000000000001</v>
      </c>
      <c r="I299">
        <v>184.4</v>
      </c>
      <c r="J299">
        <v>162.30000000000001</v>
      </c>
      <c r="K299">
        <v>138.4</v>
      </c>
      <c r="L299">
        <v>165.1</v>
      </c>
      <c r="M299">
        <v>114.3</v>
      </c>
      <c r="N299">
        <v>169.7</v>
      </c>
      <c r="O299">
        <v>164.6</v>
      </c>
      <c r="P299">
        <v>169.8</v>
      </c>
      <c r="Q299">
        <v>158.69999999999999</v>
      </c>
      <c r="R299">
        <v>189.6</v>
      </c>
      <c r="S299">
        <v>165.3</v>
      </c>
      <c r="T299">
        <v>160.6</v>
      </c>
      <c r="U299">
        <v>164.5</v>
      </c>
      <c r="V299" t="s">
        <v>47</v>
      </c>
      <c r="W299">
        <v>159.9</v>
      </c>
      <c r="X299">
        <v>161.69999999999999</v>
      </c>
      <c r="Y299">
        <v>158.80000000000001</v>
      </c>
      <c r="Z299">
        <v>169.1</v>
      </c>
      <c r="AA299">
        <v>153.19999999999999</v>
      </c>
      <c r="AB299">
        <v>160</v>
      </c>
      <c r="AC299">
        <v>167.6</v>
      </c>
      <c r="AD299">
        <v>159.30000000000001</v>
      </c>
      <c r="AE299">
        <v>161.1</v>
      </c>
      <c r="AF299">
        <v>161.1</v>
      </c>
      <c r="AG299">
        <v>2095.2999999999997</v>
      </c>
      <c r="AH299">
        <v>189.6</v>
      </c>
      <c r="AI299">
        <v>325.89999999999998</v>
      </c>
      <c r="AJ299">
        <v>800.80000000000007</v>
      </c>
      <c r="AK299">
        <v>169.1</v>
      </c>
      <c r="AL299">
        <v>153.19999999999999</v>
      </c>
      <c r="AM299">
        <v>160</v>
      </c>
      <c r="AN299">
        <v>167.6</v>
      </c>
    </row>
    <row r="300" spans="1:40" x14ac:dyDescent="0.25">
      <c r="A300" t="s">
        <v>32</v>
      </c>
      <c r="B300">
        <v>2021</v>
      </c>
      <c r="C300" t="s">
        <v>37</v>
      </c>
      <c r="D300" t="s">
        <v>214</v>
      </c>
      <c r="E300">
        <v>148.80000000000001</v>
      </c>
      <c r="F300">
        <v>204.3</v>
      </c>
      <c r="G300">
        <v>173</v>
      </c>
      <c r="H300">
        <v>156.5</v>
      </c>
      <c r="I300">
        <v>168.8</v>
      </c>
      <c r="J300">
        <v>172.5</v>
      </c>
      <c r="K300">
        <v>166.5</v>
      </c>
      <c r="L300">
        <v>165.9</v>
      </c>
      <c r="M300">
        <v>115.9</v>
      </c>
      <c r="N300">
        <v>165.2</v>
      </c>
      <c r="O300">
        <v>152</v>
      </c>
      <c r="P300">
        <v>171.1</v>
      </c>
      <c r="Q300">
        <v>164.2</v>
      </c>
      <c r="R300">
        <v>198.2</v>
      </c>
      <c r="S300">
        <v>156.5</v>
      </c>
      <c r="T300">
        <v>140.19999999999999</v>
      </c>
      <c r="U300">
        <v>154.1</v>
      </c>
      <c r="V300">
        <v>161.6</v>
      </c>
      <c r="W300">
        <v>161.6</v>
      </c>
      <c r="X300">
        <v>155.5</v>
      </c>
      <c r="Y300">
        <v>150.1</v>
      </c>
      <c r="Z300">
        <v>160.4</v>
      </c>
      <c r="AA300">
        <v>145</v>
      </c>
      <c r="AB300">
        <v>152.6</v>
      </c>
      <c r="AC300">
        <v>156.6</v>
      </c>
      <c r="AD300">
        <v>157.5</v>
      </c>
      <c r="AE300">
        <v>152.30000000000001</v>
      </c>
      <c r="AF300">
        <v>159.5</v>
      </c>
      <c r="AG300">
        <v>2124.7000000000003</v>
      </c>
      <c r="AH300">
        <v>198.2</v>
      </c>
      <c r="AI300">
        <v>296.7</v>
      </c>
      <c r="AJ300">
        <v>777</v>
      </c>
      <c r="AK300">
        <v>160.4</v>
      </c>
      <c r="AL300">
        <v>145</v>
      </c>
      <c r="AM300">
        <v>152.6</v>
      </c>
      <c r="AN300">
        <v>156.6</v>
      </c>
    </row>
    <row r="301" spans="1:40" x14ac:dyDescent="0.25">
      <c r="A301" t="s">
        <v>33</v>
      </c>
      <c r="B301">
        <v>2021</v>
      </c>
      <c r="C301" t="s">
        <v>37</v>
      </c>
      <c r="D301" t="s">
        <v>214</v>
      </c>
      <c r="E301">
        <v>146.30000000000001</v>
      </c>
      <c r="F301">
        <v>200.5</v>
      </c>
      <c r="G301">
        <v>170.3</v>
      </c>
      <c r="H301">
        <v>156.1</v>
      </c>
      <c r="I301">
        <v>178.7</v>
      </c>
      <c r="J301">
        <v>167.1</v>
      </c>
      <c r="K301">
        <v>147.9</v>
      </c>
      <c r="L301">
        <v>165.4</v>
      </c>
      <c r="M301">
        <v>114.8</v>
      </c>
      <c r="N301">
        <v>168.2</v>
      </c>
      <c r="O301">
        <v>159.30000000000001</v>
      </c>
      <c r="P301">
        <v>170.4</v>
      </c>
      <c r="Q301">
        <v>160.69999999999999</v>
      </c>
      <c r="R301">
        <v>191.9</v>
      </c>
      <c r="S301">
        <v>161.80000000000001</v>
      </c>
      <c r="T301">
        <v>152.1</v>
      </c>
      <c r="U301">
        <v>160.4</v>
      </c>
      <c r="V301">
        <v>161.6</v>
      </c>
      <c r="W301">
        <v>161.6</v>
      </c>
      <c r="X301">
        <v>159.4</v>
      </c>
      <c r="Y301">
        <v>154.69999999999999</v>
      </c>
      <c r="Z301">
        <v>165.8</v>
      </c>
      <c r="AA301">
        <v>148.9</v>
      </c>
      <c r="AB301">
        <v>155.80000000000001</v>
      </c>
      <c r="AC301">
        <v>161.19999999999999</v>
      </c>
      <c r="AD301">
        <v>158.6</v>
      </c>
      <c r="AE301">
        <v>156.80000000000001</v>
      </c>
      <c r="AF301">
        <v>160.4</v>
      </c>
      <c r="AG301">
        <v>2105.7000000000003</v>
      </c>
      <c r="AH301">
        <v>191.9</v>
      </c>
      <c r="AI301">
        <v>313.89999999999998</v>
      </c>
      <c r="AJ301">
        <v>791.09999999999991</v>
      </c>
      <c r="AK301">
        <v>165.8</v>
      </c>
      <c r="AL301">
        <v>148.9</v>
      </c>
      <c r="AM301">
        <v>155.80000000000001</v>
      </c>
      <c r="AN301">
        <v>161.19999999999999</v>
      </c>
    </row>
    <row r="302" spans="1:40" x14ac:dyDescent="0.25">
      <c r="A302" t="s">
        <v>30</v>
      </c>
      <c r="B302">
        <v>2021</v>
      </c>
      <c r="C302" t="s">
        <v>38</v>
      </c>
      <c r="D302" t="s">
        <v>212</v>
      </c>
      <c r="E302">
        <v>145.6</v>
      </c>
      <c r="F302">
        <v>200.1</v>
      </c>
      <c r="G302">
        <v>179.3</v>
      </c>
      <c r="H302">
        <v>156.1</v>
      </c>
      <c r="I302">
        <v>190.4</v>
      </c>
      <c r="J302">
        <v>158.6</v>
      </c>
      <c r="K302">
        <v>144.69999999999999</v>
      </c>
      <c r="L302">
        <v>165.5</v>
      </c>
      <c r="M302">
        <v>114.6</v>
      </c>
      <c r="N302">
        <v>170</v>
      </c>
      <c r="O302">
        <v>165.5</v>
      </c>
      <c r="P302">
        <v>171.7</v>
      </c>
      <c r="Q302">
        <v>160.5</v>
      </c>
      <c r="R302">
        <v>189.1</v>
      </c>
      <c r="S302">
        <v>165.3</v>
      </c>
      <c r="T302">
        <v>159.9</v>
      </c>
      <c r="U302">
        <v>164.6</v>
      </c>
      <c r="V302" t="s">
        <v>47</v>
      </c>
      <c r="W302">
        <v>160.5</v>
      </c>
      <c r="X302">
        <v>162.1</v>
      </c>
      <c r="Y302">
        <v>159.19999999999999</v>
      </c>
      <c r="Z302">
        <v>169.7</v>
      </c>
      <c r="AA302">
        <v>154.19999999999999</v>
      </c>
      <c r="AB302">
        <v>160.4</v>
      </c>
      <c r="AC302">
        <v>166.8</v>
      </c>
      <c r="AD302">
        <v>159.4</v>
      </c>
      <c r="AE302">
        <v>161.5</v>
      </c>
      <c r="AF302">
        <v>162.1</v>
      </c>
      <c r="AG302">
        <v>2122.6</v>
      </c>
      <c r="AH302">
        <v>189.1</v>
      </c>
      <c r="AI302">
        <v>325.20000000000005</v>
      </c>
      <c r="AJ302">
        <v>802.7</v>
      </c>
      <c r="AK302">
        <v>169.7</v>
      </c>
      <c r="AL302">
        <v>154.19999999999999</v>
      </c>
      <c r="AM302">
        <v>160.4</v>
      </c>
      <c r="AN302">
        <v>166.8</v>
      </c>
    </row>
    <row r="303" spans="1:40" x14ac:dyDescent="0.25">
      <c r="A303" t="s">
        <v>32</v>
      </c>
      <c r="B303">
        <v>2021</v>
      </c>
      <c r="C303" t="s">
        <v>38</v>
      </c>
      <c r="D303" t="s">
        <v>212</v>
      </c>
      <c r="E303">
        <v>149.19999999999999</v>
      </c>
      <c r="F303">
        <v>205.5</v>
      </c>
      <c r="G303">
        <v>182.8</v>
      </c>
      <c r="H303">
        <v>156.5</v>
      </c>
      <c r="I303">
        <v>172.2</v>
      </c>
      <c r="J303">
        <v>171.5</v>
      </c>
      <c r="K303">
        <v>176.2</v>
      </c>
      <c r="L303">
        <v>166.9</v>
      </c>
      <c r="M303">
        <v>116.1</v>
      </c>
      <c r="N303">
        <v>165.5</v>
      </c>
      <c r="O303">
        <v>152.30000000000001</v>
      </c>
      <c r="P303">
        <v>173.3</v>
      </c>
      <c r="Q303">
        <v>166.2</v>
      </c>
      <c r="R303">
        <v>195.6</v>
      </c>
      <c r="S303">
        <v>157.30000000000001</v>
      </c>
      <c r="T303">
        <v>140.5</v>
      </c>
      <c r="U303">
        <v>154.80000000000001</v>
      </c>
      <c r="V303">
        <v>160.5</v>
      </c>
      <c r="W303">
        <v>160.5</v>
      </c>
      <c r="X303">
        <v>156.1</v>
      </c>
      <c r="Y303">
        <v>149.80000000000001</v>
      </c>
      <c r="Z303">
        <v>160.80000000000001</v>
      </c>
      <c r="AA303">
        <v>147.5</v>
      </c>
      <c r="AB303">
        <v>150.69999999999999</v>
      </c>
      <c r="AC303">
        <v>158.1</v>
      </c>
      <c r="AD303">
        <v>158</v>
      </c>
      <c r="AE303">
        <v>153.4</v>
      </c>
      <c r="AF303">
        <v>160.4</v>
      </c>
      <c r="AG303">
        <v>2154.1999999999998</v>
      </c>
      <c r="AH303">
        <v>195.6</v>
      </c>
      <c r="AI303">
        <v>297.8</v>
      </c>
      <c r="AJ303">
        <v>777.80000000000007</v>
      </c>
      <c r="AK303">
        <v>160.80000000000001</v>
      </c>
      <c r="AL303">
        <v>147.5</v>
      </c>
      <c r="AM303">
        <v>150.69999999999999</v>
      </c>
      <c r="AN303">
        <v>158.1</v>
      </c>
    </row>
    <row r="304" spans="1:40" x14ac:dyDescent="0.25">
      <c r="A304" t="s">
        <v>33</v>
      </c>
      <c r="B304">
        <v>2021</v>
      </c>
      <c r="C304" t="s">
        <v>38</v>
      </c>
      <c r="D304" t="s">
        <v>212</v>
      </c>
      <c r="E304">
        <v>146.69999999999999</v>
      </c>
      <c r="F304">
        <v>202</v>
      </c>
      <c r="G304">
        <v>180.7</v>
      </c>
      <c r="H304">
        <v>156.19999999999999</v>
      </c>
      <c r="I304">
        <v>183.7</v>
      </c>
      <c r="J304">
        <v>164.6</v>
      </c>
      <c r="K304">
        <v>155.4</v>
      </c>
      <c r="L304">
        <v>166</v>
      </c>
      <c r="M304">
        <v>115.1</v>
      </c>
      <c r="N304">
        <v>168.5</v>
      </c>
      <c r="O304">
        <v>160</v>
      </c>
      <c r="P304">
        <v>172.4</v>
      </c>
      <c r="Q304">
        <v>162.6</v>
      </c>
      <c r="R304">
        <v>190.8</v>
      </c>
      <c r="S304">
        <v>162.19999999999999</v>
      </c>
      <c r="T304">
        <v>151.80000000000001</v>
      </c>
      <c r="U304">
        <v>160.69999999999999</v>
      </c>
      <c r="V304">
        <v>160.5</v>
      </c>
      <c r="W304">
        <v>160.5</v>
      </c>
      <c r="X304">
        <v>159.80000000000001</v>
      </c>
      <c r="Y304">
        <v>154.80000000000001</v>
      </c>
      <c r="Z304">
        <v>166.3</v>
      </c>
      <c r="AA304">
        <v>150.69999999999999</v>
      </c>
      <c r="AB304">
        <v>154.9</v>
      </c>
      <c r="AC304">
        <v>161.69999999999999</v>
      </c>
      <c r="AD304">
        <v>158.80000000000001</v>
      </c>
      <c r="AE304">
        <v>157.6</v>
      </c>
      <c r="AF304">
        <v>161.30000000000001</v>
      </c>
      <c r="AG304">
        <v>2133.9</v>
      </c>
      <c r="AH304">
        <v>190.8</v>
      </c>
      <c r="AI304">
        <v>314</v>
      </c>
      <c r="AJ304">
        <v>791.50000000000011</v>
      </c>
      <c r="AK304">
        <v>166.3</v>
      </c>
      <c r="AL304">
        <v>150.69999999999999</v>
      </c>
      <c r="AM304">
        <v>154.9</v>
      </c>
      <c r="AN304">
        <v>161.69999999999999</v>
      </c>
    </row>
    <row r="305" spans="1:40" x14ac:dyDescent="0.25">
      <c r="A305" t="s">
        <v>30</v>
      </c>
      <c r="B305">
        <v>2021</v>
      </c>
      <c r="C305" t="s">
        <v>39</v>
      </c>
      <c r="D305" t="s">
        <v>211</v>
      </c>
      <c r="E305">
        <v>145.1</v>
      </c>
      <c r="F305">
        <v>204.5</v>
      </c>
      <c r="G305">
        <v>180.4</v>
      </c>
      <c r="H305">
        <v>157.1</v>
      </c>
      <c r="I305">
        <v>188.7</v>
      </c>
      <c r="J305">
        <v>157.69999999999999</v>
      </c>
      <c r="K305">
        <v>152.80000000000001</v>
      </c>
      <c r="L305">
        <v>163.6</v>
      </c>
      <c r="M305">
        <v>113.9</v>
      </c>
      <c r="N305">
        <v>169.7</v>
      </c>
      <c r="O305">
        <v>166.2</v>
      </c>
      <c r="P305">
        <v>171</v>
      </c>
      <c r="Q305">
        <v>161.69999999999999</v>
      </c>
      <c r="R305">
        <v>189.7</v>
      </c>
      <c r="S305">
        <v>166</v>
      </c>
      <c r="T305">
        <v>161.1</v>
      </c>
      <c r="U305">
        <v>165.3</v>
      </c>
      <c r="V305" t="s">
        <v>47</v>
      </c>
      <c r="W305">
        <v>161.5</v>
      </c>
      <c r="X305">
        <v>162.5</v>
      </c>
      <c r="Y305">
        <v>160.30000000000001</v>
      </c>
      <c r="Z305">
        <v>170.4</v>
      </c>
      <c r="AA305">
        <v>157.1</v>
      </c>
      <c r="AB305">
        <v>160.69999999999999</v>
      </c>
      <c r="AC305">
        <v>167.2</v>
      </c>
      <c r="AD305">
        <v>160.4</v>
      </c>
      <c r="AE305">
        <v>162.80000000000001</v>
      </c>
      <c r="AF305">
        <v>163.19999999999999</v>
      </c>
      <c r="AG305">
        <v>2132.4</v>
      </c>
      <c r="AH305">
        <v>189.7</v>
      </c>
      <c r="AI305">
        <v>327.10000000000002</v>
      </c>
      <c r="AJ305">
        <v>807.5</v>
      </c>
      <c r="AK305">
        <v>170.4</v>
      </c>
      <c r="AL305">
        <v>157.1</v>
      </c>
      <c r="AM305">
        <v>160.69999999999999</v>
      </c>
      <c r="AN305">
        <v>167.2</v>
      </c>
    </row>
    <row r="306" spans="1:40" x14ac:dyDescent="0.25">
      <c r="A306" t="s">
        <v>32</v>
      </c>
      <c r="B306">
        <v>2021</v>
      </c>
      <c r="C306" t="s">
        <v>39</v>
      </c>
      <c r="D306" t="s">
        <v>211</v>
      </c>
      <c r="E306">
        <v>149.1</v>
      </c>
      <c r="F306">
        <v>210.9</v>
      </c>
      <c r="G306">
        <v>185</v>
      </c>
      <c r="H306">
        <v>158.19999999999999</v>
      </c>
      <c r="I306">
        <v>170.6</v>
      </c>
      <c r="J306">
        <v>170.9</v>
      </c>
      <c r="K306">
        <v>186.4</v>
      </c>
      <c r="L306">
        <v>164.7</v>
      </c>
      <c r="M306">
        <v>115.7</v>
      </c>
      <c r="N306">
        <v>165.5</v>
      </c>
      <c r="O306">
        <v>153.4</v>
      </c>
      <c r="P306">
        <v>173.5</v>
      </c>
      <c r="Q306">
        <v>167.9</v>
      </c>
      <c r="R306">
        <v>195.5</v>
      </c>
      <c r="S306">
        <v>157.9</v>
      </c>
      <c r="T306">
        <v>141.9</v>
      </c>
      <c r="U306">
        <v>155.5</v>
      </c>
      <c r="V306">
        <v>161.5</v>
      </c>
      <c r="W306">
        <v>161.5</v>
      </c>
      <c r="X306">
        <v>157.69999999999999</v>
      </c>
      <c r="Y306">
        <v>150.69999999999999</v>
      </c>
      <c r="Z306">
        <v>161.5</v>
      </c>
      <c r="AA306">
        <v>149.5</v>
      </c>
      <c r="AB306">
        <v>151.19999999999999</v>
      </c>
      <c r="AC306">
        <v>160.30000000000001</v>
      </c>
      <c r="AD306">
        <v>159.6</v>
      </c>
      <c r="AE306">
        <v>155</v>
      </c>
      <c r="AF306">
        <v>161.80000000000001</v>
      </c>
      <c r="AG306">
        <v>2171.8000000000002</v>
      </c>
      <c r="AH306">
        <v>195.5</v>
      </c>
      <c r="AI306">
        <v>299.8</v>
      </c>
      <c r="AJ306">
        <v>784.5</v>
      </c>
      <c r="AK306">
        <v>161.5</v>
      </c>
      <c r="AL306">
        <v>149.5</v>
      </c>
      <c r="AM306">
        <v>151.19999999999999</v>
      </c>
      <c r="AN306">
        <v>160.30000000000001</v>
      </c>
    </row>
    <row r="307" spans="1:40" x14ac:dyDescent="0.25">
      <c r="A307" t="s">
        <v>33</v>
      </c>
      <c r="B307">
        <v>2021</v>
      </c>
      <c r="C307" t="s">
        <v>39</v>
      </c>
      <c r="D307" t="s">
        <v>211</v>
      </c>
      <c r="E307">
        <v>146.4</v>
      </c>
      <c r="F307">
        <v>206.8</v>
      </c>
      <c r="G307">
        <v>182.2</v>
      </c>
      <c r="H307">
        <v>157.5</v>
      </c>
      <c r="I307">
        <v>182.1</v>
      </c>
      <c r="J307">
        <v>163.9</v>
      </c>
      <c r="K307">
        <v>164.2</v>
      </c>
      <c r="L307">
        <v>164</v>
      </c>
      <c r="M307">
        <v>114.5</v>
      </c>
      <c r="N307">
        <v>168.3</v>
      </c>
      <c r="O307">
        <v>160.9</v>
      </c>
      <c r="P307">
        <v>172.2</v>
      </c>
      <c r="Q307">
        <v>164</v>
      </c>
      <c r="R307">
        <v>191.2</v>
      </c>
      <c r="S307">
        <v>162.80000000000001</v>
      </c>
      <c r="T307">
        <v>153.1</v>
      </c>
      <c r="U307">
        <v>161.4</v>
      </c>
      <c r="V307">
        <v>161.5</v>
      </c>
      <c r="W307">
        <v>161.5</v>
      </c>
      <c r="X307">
        <v>160.69999999999999</v>
      </c>
      <c r="Y307">
        <v>155.80000000000001</v>
      </c>
      <c r="Z307">
        <v>167</v>
      </c>
      <c r="AA307">
        <v>153.1</v>
      </c>
      <c r="AB307">
        <v>155.30000000000001</v>
      </c>
      <c r="AC307">
        <v>163.19999999999999</v>
      </c>
      <c r="AD307">
        <v>160.1</v>
      </c>
      <c r="AE307">
        <v>159</v>
      </c>
      <c r="AF307">
        <v>162.5</v>
      </c>
      <c r="AG307">
        <v>2147</v>
      </c>
      <c r="AH307">
        <v>191.2</v>
      </c>
      <c r="AI307">
        <v>315.89999999999998</v>
      </c>
      <c r="AJ307">
        <v>797.1</v>
      </c>
      <c r="AK307">
        <v>167</v>
      </c>
      <c r="AL307">
        <v>153.1</v>
      </c>
      <c r="AM307">
        <v>155.30000000000001</v>
      </c>
      <c r="AN307">
        <v>163.19999999999999</v>
      </c>
    </row>
    <row r="308" spans="1:40" x14ac:dyDescent="0.25">
      <c r="A308" t="s">
        <v>30</v>
      </c>
      <c r="B308">
        <v>2021</v>
      </c>
      <c r="C308" t="s">
        <v>40</v>
      </c>
      <c r="D308" t="s">
        <v>207</v>
      </c>
      <c r="E308">
        <v>144.9</v>
      </c>
      <c r="F308">
        <v>202.3</v>
      </c>
      <c r="G308">
        <v>176.5</v>
      </c>
      <c r="H308">
        <v>157.5</v>
      </c>
      <c r="I308">
        <v>190.9</v>
      </c>
      <c r="J308">
        <v>155.69999999999999</v>
      </c>
      <c r="K308">
        <v>153.9</v>
      </c>
      <c r="L308">
        <v>162.80000000000001</v>
      </c>
      <c r="M308">
        <v>115.2</v>
      </c>
      <c r="N308">
        <v>169.8</v>
      </c>
      <c r="O308">
        <v>167.6</v>
      </c>
      <c r="P308">
        <v>171.9</v>
      </c>
      <c r="Q308">
        <v>161.80000000000001</v>
      </c>
      <c r="R308">
        <v>190.2</v>
      </c>
      <c r="S308">
        <v>167</v>
      </c>
      <c r="T308">
        <v>162.6</v>
      </c>
      <c r="U308">
        <v>166.3</v>
      </c>
      <c r="V308" t="s">
        <v>47</v>
      </c>
      <c r="W308">
        <v>162.1</v>
      </c>
      <c r="X308">
        <v>163.1</v>
      </c>
      <c r="Y308">
        <v>160.9</v>
      </c>
      <c r="Z308">
        <v>171.1</v>
      </c>
      <c r="AA308">
        <v>157.69999999999999</v>
      </c>
      <c r="AB308">
        <v>161.1</v>
      </c>
      <c r="AC308">
        <v>167.5</v>
      </c>
      <c r="AD308">
        <v>160.30000000000001</v>
      </c>
      <c r="AE308">
        <v>163.30000000000001</v>
      </c>
      <c r="AF308">
        <v>163.6</v>
      </c>
      <c r="AG308">
        <v>2130.8000000000002</v>
      </c>
      <c r="AH308">
        <v>190.2</v>
      </c>
      <c r="AI308">
        <v>329.6</v>
      </c>
      <c r="AJ308">
        <v>809.7</v>
      </c>
      <c r="AK308">
        <v>171.1</v>
      </c>
      <c r="AL308">
        <v>157.69999999999999</v>
      </c>
      <c r="AM308">
        <v>161.1</v>
      </c>
      <c r="AN308">
        <v>167.5</v>
      </c>
    </row>
    <row r="309" spans="1:40" x14ac:dyDescent="0.25">
      <c r="A309" t="s">
        <v>32</v>
      </c>
      <c r="B309">
        <v>2021</v>
      </c>
      <c r="C309" t="s">
        <v>40</v>
      </c>
      <c r="D309" t="s">
        <v>207</v>
      </c>
      <c r="E309">
        <v>149.30000000000001</v>
      </c>
      <c r="F309">
        <v>207.4</v>
      </c>
      <c r="G309">
        <v>174.1</v>
      </c>
      <c r="H309">
        <v>159.19999999999999</v>
      </c>
      <c r="I309">
        <v>175</v>
      </c>
      <c r="J309">
        <v>161.30000000000001</v>
      </c>
      <c r="K309">
        <v>183.3</v>
      </c>
      <c r="L309">
        <v>164.5</v>
      </c>
      <c r="M309">
        <v>120.4</v>
      </c>
      <c r="N309">
        <v>166.2</v>
      </c>
      <c r="O309">
        <v>154.80000000000001</v>
      </c>
      <c r="P309">
        <v>175.1</v>
      </c>
      <c r="Q309">
        <v>167.3</v>
      </c>
      <c r="R309">
        <v>196.5</v>
      </c>
      <c r="S309">
        <v>159.80000000000001</v>
      </c>
      <c r="T309">
        <v>143.6</v>
      </c>
      <c r="U309">
        <v>157.30000000000001</v>
      </c>
      <c r="V309">
        <v>162.1</v>
      </c>
      <c r="W309">
        <v>162.1</v>
      </c>
      <c r="X309">
        <v>160.69999999999999</v>
      </c>
      <c r="Y309">
        <v>153.19999999999999</v>
      </c>
      <c r="Z309">
        <v>162.80000000000001</v>
      </c>
      <c r="AA309">
        <v>150.4</v>
      </c>
      <c r="AB309">
        <v>153.69999999999999</v>
      </c>
      <c r="AC309">
        <v>160.4</v>
      </c>
      <c r="AD309">
        <v>159.6</v>
      </c>
      <c r="AE309">
        <v>156</v>
      </c>
      <c r="AF309">
        <v>162.30000000000001</v>
      </c>
      <c r="AG309">
        <v>2157.9</v>
      </c>
      <c r="AH309">
        <v>196.5</v>
      </c>
      <c r="AI309">
        <v>303.39999999999998</v>
      </c>
      <c r="AJ309">
        <v>791.59999999999991</v>
      </c>
      <c r="AK309">
        <v>162.80000000000001</v>
      </c>
      <c r="AL309">
        <v>150.4</v>
      </c>
      <c r="AM309">
        <v>153.69999999999999</v>
      </c>
      <c r="AN309">
        <v>160.4</v>
      </c>
    </row>
    <row r="310" spans="1:40" x14ac:dyDescent="0.25">
      <c r="A310" t="s">
        <v>33</v>
      </c>
      <c r="B310">
        <v>2021</v>
      </c>
      <c r="C310" t="s">
        <v>40</v>
      </c>
      <c r="D310" t="s">
        <v>207</v>
      </c>
      <c r="E310">
        <v>146.6</v>
      </c>
      <c r="F310">
        <v>204</v>
      </c>
      <c r="G310">
        <v>172.8</v>
      </c>
      <c r="H310">
        <v>158.4</v>
      </c>
      <c r="I310">
        <v>188</v>
      </c>
      <c r="J310">
        <v>156.80000000000001</v>
      </c>
      <c r="K310">
        <v>162.19999999999999</v>
      </c>
      <c r="L310">
        <v>164.1</v>
      </c>
      <c r="M310">
        <v>119.7</v>
      </c>
      <c r="N310">
        <v>168.8</v>
      </c>
      <c r="O310">
        <v>162.69999999999999</v>
      </c>
      <c r="P310">
        <v>173.9</v>
      </c>
      <c r="Q310">
        <v>164</v>
      </c>
      <c r="R310">
        <v>192.1</v>
      </c>
      <c r="S310">
        <v>164.5</v>
      </c>
      <c r="T310">
        <v>155.30000000000001</v>
      </c>
      <c r="U310">
        <v>163.19999999999999</v>
      </c>
      <c r="V310">
        <v>162.1</v>
      </c>
      <c r="W310">
        <v>162.1</v>
      </c>
      <c r="X310">
        <v>162.6</v>
      </c>
      <c r="Y310">
        <v>157.5</v>
      </c>
      <c r="Z310">
        <v>168.4</v>
      </c>
      <c r="AA310">
        <v>154</v>
      </c>
      <c r="AB310">
        <v>157.6</v>
      </c>
      <c r="AC310">
        <v>163.80000000000001</v>
      </c>
      <c r="AD310">
        <v>160</v>
      </c>
      <c r="AE310">
        <v>160</v>
      </c>
      <c r="AF310">
        <v>163.19999999999999</v>
      </c>
      <c r="AG310">
        <v>2142</v>
      </c>
      <c r="AH310">
        <v>192.1</v>
      </c>
      <c r="AI310">
        <v>319.8</v>
      </c>
      <c r="AJ310">
        <v>802.2</v>
      </c>
      <c r="AK310">
        <v>168.4</v>
      </c>
      <c r="AL310">
        <v>154</v>
      </c>
      <c r="AM310">
        <v>157.6</v>
      </c>
      <c r="AN310">
        <v>163.80000000000001</v>
      </c>
    </row>
    <row r="311" spans="1:40" x14ac:dyDescent="0.25">
      <c r="A311" t="s">
        <v>30</v>
      </c>
      <c r="B311">
        <v>2021</v>
      </c>
      <c r="C311" t="s">
        <v>41</v>
      </c>
      <c r="D311" t="s">
        <v>217</v>
      </c>
      <c r="E311">
        <v>145.4</v>
      </c>
      <c r="F311">
        <v>202.1</v>
      </c>
      <c r="G311">
        <v>172</v>
      </c>
      <c r="H311">
        <v>158</v>
      </c>
      <c r="I311">
        <v>195.5</v>
      </c>
      <c r="J311">
        <v>152.69999999999999</v>
      </c>
      <c r="K311">
        <v>151.4</v>
      </c>
      <c r="L311">
        <v>163.9</v>
      </c>
      <c r="M311">
        <v>119.3</v>
      </c>
      <c r="N311">
        <v>170.1</v>
      </c>
      <c r="O311">
        <v>168.3</v>
      </c>
      <c r="P311">
        <v>172.8</v>
      </c>
      <c r="Q311">
        <v>162.1</v>
      </c>
      <c r="R311">
        <v>190.5</v>
      </c>
      <c r="S311">
        <v>167.7</v>
      </c>
      <c r="T311">
        <v>163.6</v>
      </c>
      <c r="U311">
        <v>167.1</v>
      </c>
      <c r="V311" t="s">
        <v>47</v>
      </c>
      <c r="W311">
        <v>162.1</v>
      </c>
      <c r="X311">
        <v>163.69999999999999</v>
      </c>
      <c r="Y311">
        <v>161.30000000000001</v>
      </c>
      <c r="Z311">
        <v>171.9</v>
      </c>
      <c r="AA311">
        <v>157.80000000000001</v>
      </c>
      <c r="AB311">
        <v>162.69999999999999</v>
      </c>
      <c r="AC311">
        <v>168.5</v>
      </c>
      <c r="AD311">
        <v>160.19999999999999</v>
      </c>
      <c r="AE311">
        <v>163.80000000000001</v>
      </c>
      <c r="AF311">
        <v>164</v>
      </c>
      <c r="AG311">
        <v>2133.6</v>
      </c>
      <c r="AH311">
        <v>190.5</v>
      </c>
      <c r="AI311">
        <v>331.29999999999995</v>
      </c>
      <c r="AJ311">
        <v>811.09999999999991</v>
      </c>
      <c r="AK311">
        <v>171.9</v>
      </c>
      <c r="AL311">
        <v>157.80000000000001</v>
      </c>
      <c r="AM311">
        <v>162.69999999999999</v>
      </c>
      <c r="AN311">
        <v>168.5</v>
      </c>
    </row>
    <row r="312" spans="1:40" x14ac:dyDescent="0.25">
      <c r="A312" t="s">
        <v>32</v>
      </c>
      <c r="B312">
        <v>2021</v>
      </c>
      <c r="C312" t="s">
        <v>41</v>
      </c>
      <c r="D312" t="s">
        <v>217</v>
      </c>
      <c r="E312">
        <v>149.30000000000001</v>
      </c>
      <c r="F312">
        <v>207.4</v>
      </c>
      <c r="G312">
        <v>174.1</v>
      </c>
      <c r="H312">
        <v>159.1</v>
      </c>
      <c r="I312">
        <v>175</v>
      </c>
      <c r="J312">
        <v>161.19999999999999</v>
      </c>
      <c r="K312">
        <v>183.5</v>
      </c>
      <c r="L312">
        <v>164.5</v>
      </c>
      <c r="M312">
        <v>120.4</v>
      </c>
      <c r="N312">
        <v>166.2</v>
      </c>
      <c r="O312">
        <v>154.80000000000001</v>
      </c>
      <c r="P312">
        <v>175.1</v>
      </c>
      <c r="Q312">
        <v>167.3</v>
      </c>
      <c r="R312">
        <v>196.5</v>
      </c>
      <c r="S312">
        <v>159.80000000000001</v>
      </c>
      <c r="T312">
        <v>143.6</v>
      </c>
      <c r="U312">
        <v>157.4</v>
      </c>
      <c r="V312">
        <v>162.1</v>
      </c>
      <c r="W312">
        <v>162.1</v>
      </c>
      <c r="X312">
        <v>160.80000000000001</v>
      </c>
      <c r="Y312">
        <v>153.30000000000001</v>
      </c>
      <c r="Z312">
        <v>162.80000000000001</v>
      </c>
      <c r="AA312">
        <v>150.5</v>
      </c>
      <c r="AB312">
        <v>153.9</v>
      </c>
      <c r="AC312">
        <v>160.30000000000001</v>
      </c>
      <c r="AD312">
        <v>159.6</v>
      </c>
      <c r="AE312">
        <v>156</v>
      </c>
      <c r="AF312">
        <v>162.30000000000001</v>
      </c>
      <c r="AG312">
        <v>2157.9</v>
      </c>
      <c r="AH312">
        <v>196.5</v>
      </c>
      <c r="AI312">
        <v>303.39999999999998</v>
      </c>
      <c r="AJ312">
        <v>791.8</v>
      </c>
      <c r="AK312">
        <v>162.80000000000001</v>
      </c>
      <c r="AL312">
        <v>150.5</v>
      </c>
      <c r="AM312">
        <v>153.9</v>
      </c>
      <c r="AN312">
        <v>160.30000000000001</v>
      </c>
    </row>
    <row r="313" spans="1:40" x14ac:dyDescent="0.25">
      <c r="A313" t="s">
        <v>33</v>
      </c>
      <c r="B313">
        <v>2021</v>
      </c>
      <c r="C313" t="s">
        <v>41</v>
      </c>
      <c r="D313" t="s">
        <v>217</v>
      </c>
      <c r="E313">
        <v>146.6</v>
      </c>
      <c r="F313">
        <v>204</v>
      </c>
      <c r="G313">
        <v>172.8</v>
      </c>
      <c r="H313">
        <v>158.4</v>
      </c>
      <c r="I313">
        <v>188</v>
      </c>
      <c r="J313">
        <v>156.69999999999999</v>
      </c>
      <c r="K313">
        <v>162.30000000000001</v>
      </c>
      <c r="L313">
        <v>164.1</v>
      </c>
      <c r="M313">
        <v>119.7</v>
      </c>
      <c r="N313">
        <v>168.8</v>
      </c>
      <c r="O313">
        <v>162.69999999999999</v>
      </c>
      <c r="P313">
        <v>173.9</v>
      </c>
      <c r="Q313">
        <v>164</v>
      </c>
      <c r="R313">
        <v>192.1</v>
      </c>
      <c r="S313">
        <v>164.6</v>
      </c>
      <c r="T313">
        <v>155.30000000000001</v>
      </c>
      <c r="U313">
        <v>163.30000000000001</v>
      </c>
      <c r="V313">
        <v>162.1</v>
      </c>
      <c r="W313">
        <v>162.1</v>
      </c>
      <c r="X313">
        <v>162.6</v>
      </c>
      <c r="Y313">
        <v>157.5</v>
      </c>
      <c r="Z313">
        <v>168.4</v>
      </c>
      <c r="AA313">
        <v>154</v>
      </c>
      <c r="AB313">
        <v>157.69999999999999</v>
      </c>
      <c r="AC313">
        <v>163.69999999999999</v>
      </c>
      <c r="AD313">
        <v>160</v>
      </c>
      <c r="AE313">
        <v>160</v>
      </c>
      <c r="AF313">
        <v>163.19999999999999</v>
      </c>
      <c r="AG313">
        <v>2142</v>
      </c>
      <c r="AH313">
        <v>192.1</v>
      </c>
      <c r="AI313">
        <v>319.89999999999998</v>
      </c>
      <c r="AJ313">
        <v>802.2</v>
      </c>
      <c r="AK313">
        <v>168.4</v>
      </c>
      <c r="AL313">
        <v>154</v>
      </c>
      <c r="AM313">
        <v>157.69999999999999</v>
      </c>
      <c r="AN313">
        <v>163.69999999999999</v>
      </c>
    </row>
    <row r="314" spans="1:40" x14ac:dyDescent="0.25">
      <c r="A314" t="s">
        <v>30</v>
      </c>
      <c r="B314">
        <v>2021</v>
      </c>
      <c r="C314" t="s">
        <v>42</v>
      </c>
      <c r="D314" t="s">
        <v>216</v>
      </c>
      <c r="E314">
        <v>146.1</v>
      </c>
      <c r="F314">
        <v>202.5</v>
      </c>
      <c r="G314">
        <v>170.1</v>
      </c>
      <c r="H314">
        <v>158.4</v>
      </c>
      <c r="I314">
        <v>198.8</v>
      </c>
      <c r="J314">
        <v>152.6</v>
      </c>
      <c r="K314">
        <v>170.4</v>
      </c>
      <c r="L314">
        <v>165.2</v>
      </c>
      <c r="M314">
        <v>121.6</v>
      </c>
      <c r="N314">
        <v>170.6</v>
      </c>
      <c r="O314">
        <v>168.8</v>
      </c>
      <c r="P314">
        <v>173.6</v>
      </c>
      <c r="Q314">
        <v>165.5</v>
      </c>
      <c r="R314">
        <v>191.2</v>
      </c>
      <c r="S314">
        <v>168.9</v>
      </c>
      <c r="T314">
        <v>164.8</v>
      </c>
      <c r="U314">
        <v>168.3</v>
      </c>
      <c r="V314" t="s">
        <v>47</v>
      </c>
      <c r="W314">
        <v>163.6</v>
      </c>
      <c r="X314">
        <v>165.5</v>
      </c>
      <c r="Y314">
        <v>162</v>
      </c>
      <c r="Z314">
        <v>172.5</v>
      </c>
      <c r="AA314">
        <v>159.5</v>
      </c>
      <c r="AB314">
        <v>163.19999999999999</v>
      </c>
      <c r="AC314">
        <v>169</v>
      </c>
      <c r="AD314">
        <v>161.1</v>
      </c>
      <c r="AE314">
        <v>164.7</v>
      </c>
      <c r="AF314">
        <v>166.3</v>
      </c>
      <c r="AG314">
        <v>2164.1999999999998</v>
      </c>
      <c r="AH314">
        <v>191.2</v>
      </c>
      <c r="AI314">
        <v>333.70000000000005</v>
      </c>
      <c r="AJ314">
        <v>816.90000000000009</v>
      </c>
      <c r="AK314">
        <v>172.5</v>
      </c>
      <c r="AL314">
        <v>159.5</v>
      </c>
      <c r="AM314">
        <v>163.19999999999999</v>
      </c>
      <c r="AN314">
        <v>169</v>
      </c>
    </row>
    <row r="315" spans="1:40" x14ac:dyDescent="0.25">
      <c r="A315" t="s">
        <v>32</v>
      </c>
      <c r="B315">
        <v>2021</v>
      </c>
      <c r="C315" t="s">
        <v>42</v>
      </c>
      <c r="D315" t="s">
        <v>216</v>
      </c>
      <c r="E315">
        <v>150.1</v>
      </c>
      <c r="F315">
        <v>208.4</v>
      </c>
      <c r="G315">
        <v>173</v>
      </c>
      <c r="H315">
        <v>159.19999999999999</v>
      </c>
      <c r="I315">
        <v>176.6</v>
      </c>
      <c r="J315">
        <v>159.30000000000001</v>
      </c>
      <c r="K315">
        <v>214.4</v>
      </c>
      <c r="L315">
        <v>165.3</v>
      </c>
      <c r="M315">
        <v>122.5</v>
      </c>
      <c r="N315">
        <v>166.8</v>
      </c>
      <c r="O315">
        <v>155.4</v>
      </c>
      <c r="P315">
        <v>175.9</v>
      </c>
      <c r="Q315">
        <v>171.5</v>
      </c>
      <c r="R315">
        <v>197</v>
      </c>
      <c r="S315">
        <v>160.80000000000001</v>
      </c>
      <c r="T315">
        <v>144.4</v>
      </c>
      <c r="U315">
        <v>158.30000000000001</v>
      </c>
      <c r="V315">
        <v>163.6</v>
      </c>
      <c r="W315">
        <v>163.6</v>
      </c>
      <c r="X315">
        <v>162.19999999999999</v>
      </c>
      <c r="Y315">
        <v>154.30000000000001</v>
      </c>
      <c r="Z315">
        <v>163.5</v>
      </c>
      <c r="AA315">
        <v>152.19999999999999</v>
      </c>
      <c r="AB315">
        <v>155.1</v>
      </c>
      <c r="AC315">
        <v>160.30000000000001</v>
      </c>
      <c r="AD315">
        <v>160.30000000000001</v>
      </c>
      <c r="AE315">
        <v>157</v>
      </c>
      <c r="AF315">
        <v>164.6</v>
      </c>
      <c r="AG315">
        <v>2198.4000000000005</v>
      </c>
      <c r="AH315">
        <v>197</v>
      </c>
      <c r="AI315">
        <v>305.20000000000005</v>
      </c>
      <c r="AJ315">
        <v>797.4</v>
      </c>
      <c r="AK315">
        <v>163.5</v>
      </c>
      <c r="AL315">
        <v>152.19999999999999</v>
      </c>
      <c r="AM315">
        <v>155.1</v>
      </c>
      <c r="AN315">
        <v>160.30000000000001</v>
      </c>
    </row>
    <row r="316" spans="1:40" x14ac:dyDescent="0.25">
      <c r="A316" t="s">
        <v>33</v>
      </c>
      <c r="B316">
        <v>2021</v>
      </c>
      <c r="C316" t="s">
        <v>42</v>
      </c>
      <c r="D316" t="s">
        <v>216</v>
      </c>
      <c r="E316">
        <v>147.4</v>
      </c>
      <c r="F316">
        <v>204.6</v>
      </c>
      <c r="G316">
        <v>171.2</v>
      </c>
      <c r="H316">
        <v>158.69999999999999</v>
      </c>
      <c r="I316">
        <v>190.6</v>
      </c>
      <c r="J316">
        <v>155.69999999999999</v>
      </c>
      <c r="K316">
        <v>185.3</v>
      </c>
      <c r="L316">
        <v>165.2</v>
      </c>
      <c r="M316">
        <v>121.9</v>
      </c>
      <c r="N316">
        <v>169.3</v>
      </c>
      <c r="O316">
        <v>163.19999999999999</v>
      </c>
      <c r="P316">
        <v>174.7</v>
      </c>
      <c r="Q316">
        <v>167.7</v>
      </c>
      <c r="R316">
        <v>192.7</v>
      </c>
      <c r="S316">
        <v>165.7</v>
      </c>
      <c r="T316">
        <v>156.30000000000001</v>
      </c>
      <c r="U316">
        <v>164.3</v>
      </c>
      <c r="V316">
        <v>163.6</v>
      </c>
      <c r="W316">
        <v>163.6</v>
      </c>
      <c r="X316">
        <v>164.2</v>
      </c>
      <c r="Y316">
        <v>158.4</v>
      </c>
      <c r="Z316">
        <v>169.1</v>
      </c>
      <c r="AA316">
        <v>155.69999999999999</v>
      </c>
      <c r="AB316">
        <v>158.6</v>
      </c>
      <c r="AC316">
        <v>163.9</v>
      </c>
      <c r="AD316">
        <v>160.80000000000001</v>
      </c>
      <c r="AE316">
        <v>161</v>
      </c>
      <c r="AF316">
        <v>165.5</v>
      </c>
      <c r="AG316">
        <v>2175.5</v>
      </c>
      <c r="AH316">
        <v>192.7</v>
      </c>
      <c r="AI316">
        <v>322</v>
      </c>
      <c r="AJ316">
        <v>808</v>
      </c>
      <c r="AK316">
        <v>169.1</v>
      </c>
      <c r="AL316">
        <v>155.69999999999999</v>
      </c>
      <c r="AM316">
        <v>158.6</v>
      </c>
      <c r="AN316">
        <v>163.9</v>
      </c>
    </row>
    <row r="317" spans="1:40" x14ac:dyDescent="0.25">
      <c r="A317" t="s">
        <v>30</v>
      </c>
      <c r="B317">
        <v>2021</v>
      </c>
      <c r="C317" t="s">
        <v>44</v>
      </c>
      <c r="D317" t="s">
        <v>215</v>
      </c>
      <c r="E317">
        <v>146.9</v>
      </c>
      <c r="F317">
        <v>199.8</v>
      </c>
      <c r="G317">
        <v>171.5</v>
      </c>
      <c r="H317">
        <v>159.1</v>
      </c>
      <c r="I317">
        <v>198.4</v>
      </c>
      <c r="J317">
        <v>153.19999999999999</v>
      </c>
      <c r="K317">
        <v>183.9</v>
      </c>
      <c r="L317">
        <v>165.4</v>
      </c>
      <c r="M317">
        <v>122.1</v>
      </c>
      <c r="N317">
        <v>170.8</v>
      </c>
      <c r="O317">
        <v>169.1</v>
      </c>
      <c r="P317">
        <v>174.3</v>
      </c>
      <c r="Q317">
        <v>167.5</v>
      </c>
      <c r="R317">
        <v>191.4</v>
      </c>
      <c r="S317">
        <v>170.4</v>
      </c>
      <c r="T317">
        <v>166</v>
      </c>
      <c r="U317">
        <v>169.8</v>
      </c>
      <c r="V317" t="s">
        <v>47</v>
      </c>
      <c r="W317">
        <v>164.2</v>
      </c>
      <c r="X317">
        <v>165.3</v>
      </c>
      <c r="Y317">
        <v>162.9</v>
      </c>
      <c r="Z317">
        <v>173.4</v>
      </c>
      <c r="AA317">
        <v>158.9</v>
      </c>
      <c r="AB317">
        <v>163.80000000000001</v>
      </c>
      <c r="AC317">
        <v>169.3</v>
      </c>
      <c r="AD317">
        <v>162.4</v>
      </c>
      <c r="AE317">
        <v>165.2</v>
      </c>
      <c r="AF317">
        <v>167.6</v>
      </c>
      <c r="AG317">
        <v>2182</v>
      </c>
      <c r="AH317">
        <v>191.4</v>
      </c>
      <c r="AI317">
        <v>336.4</v>
      </c>
      <c r="AJ317">
        <v>820</v>
      </c>
      <c r="AK317">
        <v>173.4</v>
      </c>
      <c r="AL317">
        <v>158.9</v>
      </c>
      <c r="AM317">
        <v>163.80000000000001</v>
      </c>
      <c r="AN317">
        <v>169.3</v>
      </c>
    </row>
    <row r="318" spans="1:40" x14ac:dyDescent="0.25">
      <c r="A318" t="s">
        <v>32</v>
      </c>
      <c r="B318">
        <v>2021</v>
      </c>
      <c r="C318" t="s">
        <v>44</v>
      </c>
      <c r="D318" t="s">
        <v>215</v>
      </c>
      <c r="E318">
        <v>151</v>
      </c>
      <c r="F318">
        <v>204.9</v>
      </c>
      <c r="G318">
        <v>175.4</v>
      </c>
      <c r="H318">
        <v>159.6</v>
      </c>
      <c r="I318">
        <v>175.8</v>
      </c>
      <c r="J318">
        <v>160.30000000000001</v>
      </c>
      <c r="K318">
        <v>229.1</v>
      </c>
      <c r="L318">
        <v>165.1</v>
      </c>
      <c r="M318">
        <v>123.1</v>
      </c>
      <c r="N318">
        <v>167.2</v>
      </c>
      <c r="O318">
        <v>156.1</v>
      </c>
      <c r="P318">
        <v>176.8</v>
      </c>
      <c r="Q318">
        <v>173.5</v>
      </c>
      <c r="R318">
        <v>197</v>
      </c>
      <c r="S318">
        <v>162.30000000000001</v>
      </c>
      <c r="T318">
        <v>145.30000000000001</v>
      </c>
      <c r="U318">
        <v>159.69999999999999</v>
      </c>
      <c r="V318">
        <v>164.2</v>
      </c>
      <c r="W318">
        <v>164.2</v>
      </c>
      <c r="X318">
        <v>161.6</v>
      </c>
      <c r="Y318">
        <v>155.19999999999999</v>
      </c>
      <c r="Z318">
        <v>164.2</v>
      </c>
      <c r="AA318">
        <v>151.19999999999999</v>
      </c>
      <c r="AB318">
        <v>156.69999999999999</v>
      </c>
      <c r="AC318">
        <v>160.80000000000001</v>
      </c>
      <c r="AD318">
        <v>161.80000000000001</v>
      </c>
      <c r="AE318">
        <v>157.30000000000001</v>
      </c>
      <c r="AF318">
        <v>165.6</v>
      </c>
      <c r="AG318">
        <v>2217.8999999999996</v>
      </c>
      <c r="AH318">
        <v>197</v>
      </c>
      <c r="AI318">
        <v>307.60000000000002</v>
      </c>
      <c r="AJ318">
        <v>800.09999999999991</v>
      </c>
      <c r="AK318">
        <v>164.2</v>
      </c>
      <c r="AL318">
        <v>151.19999999999999</v>
      </c>
      <c r="AM318">
        <v>156.69999999999999</v>
      </c>
      <c r="AN318">
        <v>160.80000000000001</v>
      </c>
    </row>
    <row r="319" spans="1:40" x14ac:dyDescent="0.25">
      <c r="A319" t="s">
        <v>33</v>
      </c>
      <c r="B319">
        <v>2021</v>
      </c>
      <c r="C319" t="s">
        <v>44</v>
      </c>
      <c r="D319" t="s">
        <v>215</v>
      </c>
      <c r="E319">
        <v>148.19999999999999</v>
      </c>
      <c r="F319">
        <v>201.6</v>
      </c>
      <c r="G319">
        <v>173</v>
      </c>
      <c r="H319">
        <v>159.30000000000001</v>
      </c>
      <c r="I319">
        <v>190.1</v>
      </c>
      <c r="J319">
        <v>156.5</v>
      </c>
      <c r="K319">
        <v>199.2</v>
      </c>
      <c r="L319">
        <v>165.3</v>
      </c>
      <c r="M319">
        <v>122.4</v>
      </c>
      <c r="N319">
        <v>169.6</v>
      </c>
      <c r="O319">
        <v>163.69999999999999</v>
      </c>
      <c r="P319">
        <v>175.5</v>
      </c>
      <c r="Q319">
        <v>169.7</v>
      </c>
      <c r="R319">
        <v>192.9</v>
      </c>
      <c r="S319">
        <v>167.2</v>
      </c>
      <c r="T319">
        <v>157.4</v>
      </c>
      <c r="U319">
        <v>165.8</v>
      </c>
      <c r="V319">
        <v>164.2</v>
      </c>
      <c r="W319">
        <v>164.2</v>
      </c>
      <c r="X319">
        <v>163.9</v>
      </c>
      <c r="Y319">
        <v>159.30000000000001</v>
      </c>
      <c r="Z319">
        <v>169.9</v>
      </c>
      <c r="AA319">
        <v>154.80000000000001</v>
      </c>
      <c r="AB319">
        <v>159.80000000000001</v>
      </c>
      <c r="AC319">
        <v>164.3</v>
      </c>
      <c r="AD319">
        <v>162.19999999999999</v>
      </c>
      <c r="AE319">
        <v>161.4</v>
      </c>
      <c r="AF319">
        <v>166.7</v>
      </c>
      <c r="AG319">
        <v>2194.1</v>
      </c>
      <c r="AH319">
        <v>192.9</v>
      </c>
      <c r="AI319">
        <v>324.60000000000002</v>
      </c>
      <c r="AJ319">
        <v>811</v>
      </c>
      <c r="AK319">
        <v>169.9</v>
      </c>
      <c r="AL319">
        <v>154.80000000000001</v>
      </c>
      <c r="AM319">
        <v>159.80000000000001</v>
      </c>
      <c r="AN319">
        <v>164.3</v>
      </c>
    </row>
    <row r="320" spans="1:40" x14ac:dyDescent="0.25">
      <c r="A320" t="s">
        <v>30</v>
      </c>
      <c r="B320">
        <v>2021</v>
      </c>
      <c r="C320" t="s">
        <v>45</v>
      </c>
      <c r="D320" t="s">
        <v>208</v>
      </c>
      <c r="E320">
        <v>147.4</v>
      </c>
      <c r="F320">
        <v>197</v>
      </c>
      <c r="G320">
        <v>176.5</v>
      </c>
      <c r="H320">
        <v>159.80000000000001</v>
      </c>
      <c r="I320">
        <v>195.8</v>
      </c>
      <c r="J320">
        <v>152</v>
      </c>
      <c r="K320">
        <v>172.3</v>
      </c>
      <c r="L320">
        <v>164.5</v>
      </c>
      <c r="M320">
        <v>120.6</v>
      </c>
      <c r="N320">
        <v>171.7</v>
      </c>
      <c r="O320">
        <v>169.7</v>
      </c>
      <c r="P320">
        <v>175.1</v>
      </c>
      <c r="Q320">
        <v>165.8</v>
      </c>
      <c r="R320">
        <v>190.8</v>
      </c>
      <c r="S320">
        <v>171.8</v>
      </c>
      <c r="T320">
        <v>167.3</v>
      </c>
      <c r="U320">
        <v>171.2</v>
      </c>
      <c r="V320" t="s">
        <v>47</v>
      </c>
      <c r="W320">
        <v>163.4</v>
      </c>
      <c r="X320">
        <v>165.6</v>
      </c>
      <c r="Y320">
        <v>163.9</v>
      </c>
      <c r="Z320">
        <v>174</v>
      </c>
      <c r="AA320">
        <v>160.1</v>
      </c>
      <c r="AB320">
        <v>164.5</v>
      </c>
      <c r="AC320">
        <v>169.7</v>
      </c>
      <c r="AD320">
        <v>162.80000000000001</v>
      </c>
      <c r="AE320">
        <v>166</v>
      </c>
      <c r="AF320">
        <v>167</v>
      </c>
      <c r="AG320">
        <v>2168.1999999999998</v>
      </c>
      <c r="AH320">
        <v>190.8</v>
      </c>
      <c r="AI320">
        <v>339.1</v>
      </c>
      <c r="AJ320">
        <v>821.7</v>
      </c>
      <c r="AK320">
        <v>174</v>
      </c>
      <c r="AL320">
        <v>160.1</v>
      </c>
      <c r="AM320">
        <v>164.5</v>
      </c>
      <c r="AN320">
        <v>169.7</v>
      </c>
    </row>
    <row r="321" spans="1:40" x14ac:dyDescent="0.25">
      <c r="A321" t="s">
        <v>32</v>
      </c>
      <c r="B321">
        <v>2021</v>
      </c>
      <c r="C321" t="s">
        <v>45</v>
      </c>
      <c r="D321" t="s">
        <v>208</v>
      </c>
      <c r="E321">
        <v>151.6</v>
      </c>
      <c r="F321">
        <v>202.2</v>
      </c>
      <c r="G321">
        <v>180</v>
      </c>
      <c r="H321">
        <v>160</v>
      </c>
      <c r="I321">
        <v>173.5</v>
      </c>
      <c r="J321">
        <v>158.30000000000001</v>
      </c>
      <c r="K321">
        <v>219.5</v>
      </c>
      <c r="L321">
        <v>164.2</v>
      </c>
      <c r="M321">
        <v>121.9</v>
      </c>
      <c r="N321">
        <v>168.2</v>
      </c>
      <c r="O321">
        <v>156.5</v>
      </c>
      <c r="P321">
        <v>178.2</v>
      </c>
      <c r="Q321">
        <v>172.2</v>
      </c>
      <c r="R321">
        <v>196.8</v>
      </c>
      <c r="S321">
        <v>163.30000000000001</v>
      </c>
      <c r="T321">
        <v>146.69999999999999</v>
      </c>
      <c r="U321">
        <v>160.69999999999999</v>
      </c>
      <c r="V321">
        <v>163.4</v>
      </c>
      <c r="W321">
        <v>163.4</v>
      </c>
      <c r="X321">
        <v>161.69999999999999</v>
      </c>
      <c r="Y321">
        <v>156</v>
      </c>
      <c r="Z321">
        <v>165.1</v>
      </c>
      <c r="AA321">
        <v>151.80000000000001</v>
      </c>
      <c r="AB321">
        <v>157.6</v>
      </c>
      <c r="AC321">
        <v>160.6</v>
      </c>
      <c r="AD321">
        <v>162.4</v>
      </c>
      <c r="AE321">
        <v>157.80000000000001</v>
      </c>
      <c r="AF321">
        <v>165.2</v>
      </c>
      <c r="AG321">
        <v>2206.3000000000002</v>
      </c>
      <c r="AH321">
        <v>196.8</v>
      </c>
      <c r="AI321">
        <v>310</v>
      </c>
      <c r="AJ321">
        <v>801.3</v>
      </c>
      <c r="AK321">
        <v>165.1</v>
      </c>
      <c r="AL321">
        <v>151.80000000000001</v>
      </c>
      <c r="AM321">
        <v>157.6</v>
      </c>
      <c r="AN321">
        <v>160.6</v>
      </c>
    </row>
    <row r="322" spans="1:40" x14ac:dyDescent="0.25">
      <c r="A322" t="s">
        <v>33</v>
      </c>
      <c r="B322">
        <v>2021</v>
      </c>
      <c r="C322" t="s">
        <v>45</v>
      </c>
      <c r="D322" t="s">
        <v>208</v>
      </c>
      <c r="E322">
        <v>148.69999999999999</v>
      </c>
      <c r="F322">
        <v>198.8</v>
      </c>
      <c r="G322">
        <v>177.9</v>
      </c>
      <c r="H322">
        <v>159.9</v>
      </c>
      <c r="I322">
        <v>187.6</v>
      </c>
      <c r="J322">
        <v>154.9</v>
      </c>
      <c r="K322">
        <v>188.3</v>
      </c>
      <c r="L322">
        <v>164.4</v>
      </c>
      <c r="M322">
        <v>121</v>
      </c>
      <c r="N322">
        <v>170.5</v>
      </c>
      <c r="O322">
        <v>164.2</v>
      </c>
      <c r="P322">
        <v>176.5</v>
      </c>
      <c r="Q322">
        <v>168.2</v>
      </c>
      <c r="R322">
        <v>192.4</v>
      </c>
      <c r="S322">
        <v>168.5</v>
      </c>
      <c r="T322">
        <v>158.69999999999999</v>
      </c>
      <c r="U322">
        <v>167</v>
      </c>
      <c r="V322">
        <v>163.4</v>
      </c>
      <c r="W322">
        <v>163.4</v>
      </c>
      <c r="X322">
        <v>164.1</v>
      </c>
      <c r="Y322">
        <v>160.19999999999999</v>
      </c>
      <c r="Z322">
        <v>170.6</v>
      </c>
      <c r="AA322">
        <v>155.69999999999999</v>
      </c>
      <c r="AB322">
        <v>160.6</v>
      </c>
      <c r="AC322">
        <v>164.4</v>
      </c>
      <c r="AD322">
        <v>162.6</v>
      </c>
      <c r="AE322">
        <v>162</v>
      </c>
      <c r="AF322">
        <v>166.2</v>
      </c>
      <c r="AG322">
        <v>2180.9</v>
      </c>
      <c r="AH322">
        <v>192.4</v>
      </c>
      <c r="AI322">
        <v>327.2</v>
      </c>
      <c r="AJ322">
        <v>812.3</v>
      </c>
      <c r="AK322">
        <v>170.6</v>
      </c>
      <c r="AL322">
        <v>155.69999999999999</v>
      </c>
      <c r="AM322">
        <v>160.6</v>
      </c>
      <c r="AN322">
        <v>164.4</v>
      </c>
    </row>
    <row r="323" spans="1:40" x14ac:dyDescent="0.25">
      <c r="A323" t="s">
        <v>30</v>
      </c>
      <c r="B323">
        <v>2022</v>
      </c>
      <c r="C323" t="s">
        <v>31</v>
      </c>
      <c r="D323" t="s">
        <v>220</v>
      </c>
      <c r="E323">
        <v>148.30000000000001</v>
      </c>
      <c r="F323">
        <v>196.9</v>
      </c>
      <c r="G323">
        <v>178</v>
      </c>
      <c r="H323">
        <v>160.5</v>
      </c>
      <c r="I323">
        <v>192.6</v>
      </c>
      <c r="J323">
        <v>151.19999999999999</v>
      </c>
      <c r="K323">
        <v>159.19999999999999</v>
      </c>
      <c r="L323">
        <v>164</v>
      </c>
      <c r="M323">
        <v>119.3</v>
      </c>
      <c r="N323">
        <v>173.3</v>
      </c>
      <c r="O323">
        <v>169.8</v>
      </c>
      <c r="P323">
        <v>175.8</v>
      </c>
      <c r="Q323">
        <v>164.1</v>
      </c>
      <c r="R323">
        <v>190.7</v>
      </c>
      <c r="S323">
        <v>173.2</v>
      </c>
      <c r="T323">
        <v>169.3</v>
      </c>
      <c r="U323">
        <v>172.7</v>
      </c>
      <c r="V323" t="s">
        <v>47</v>
      </c>
      <c r="W323">
        <v>164.5</v>
      </c>
      <c r="X323">
        <v>165.8</v>
      </c>
      <c r="Y323">
        <v>164.9</v>
      </c>
      <c r="Z323">
        <v>174.7</v>
      </c>
      <c r="AA323">
        <v>160.80000000000001</v>
      </c>
      <c r="AB323">
        <v>164.9</v>
      </c>
      <c r="AC323">
        <v>169.9</v>
      </c>
      <c r="AD323">
        <v>163.19999999999999</v>
      </c>
      <c r="AE323">
        <v>166.6</v>
      </c>
      <c r="AF323">
        <v>166.4</v>
      </c>
      <c r="AG323">
        <v>2153</v>
      </c>
      <c r="AH323">
        <v>190.7</v>
      </c>
      <c r="AI323">
        <v>342.5</v>
      </c>
      <c r="AJ323">
        <v>825.00000000000011</v>
      </c>
      <c r="AK323">
        <v>174.7</v>
      </c>
      <c r="AL323">
        <v>160.80000000000001</v>
      </c>
      <c r="AM323">
        <v>164.9</v>
      </c>
      <c r="AN323">
        <v>169.9</v>
      </c>
    </row>
    <row r="324" spans="1:40" x14ac:dyDescent="0.25">
      <c r="A324" t="s">
        <v>32</v>
      </c>
      <c r="B324">
        <v>2022</v>
      </c>
      <c r="C324" t="s">
        <v>31</v>
      </c>
      <c r="D324" t="s">
        <v>220</v>
      </c>
      <c r="E324">
        <v>152.19999999999999</v>
      </c>
      <c r="F324">
        <v>202.1</v>
      </c>
      <c r="G324">
        <v>180.1</v>
      </c>
      <c r="H324">
        <v>160.4</v>
      </c>
      <c r="I324">
        <v>171</v>
      </c>
      <c r="J324">
        <v>156.5</v>
      </c>
      <c r="K324">
        <v>203.6</v>
      </c>
      <c r="L324">
        <v>163.80000000000001</v>
      </c>
      <c r="M324">
        <v>121.3</v>
      </c>
      <c r="N324">
        <v>169.8</v>
      </c>
      <c r="O324">
        <v>156.6</v>
      </c>
      <c r="P324">
        <v>179</v>
      </c>
      <c r="Q324">
        <v>170.3</v>
      </c>
      <c r="R324">
        <v>196.4</v>
      </c>
      <c r="S324">
        <v>164.7</v>
      </c>
      <c r="T324">
        <v>148.5</v>
      </c>
      <c r="U324">
        <v>162.19999999999999</v>
      </c>
      <c r="V324">
        <v>164.5</v>
      </c>
      <c r="W324">
        <v>164.5</v>
      </c>
      <c r="X324">
        <v>161.6</v>
      </c>
      <c r="Y324">
        <v>156.80000000000001</v>
      </c>
      <c r="Z324">
        <v>166.1</v>
      </c>
      <c r="AA324">
        <v>152.69999999999999</v>
      </c>
      <c r="AB324">
        <v>158.4</v>
      </c>
      <c r="AC324">
        <v>161</v>
      </c>
      <c r="AD324">
        <v>162.80000000000001</v>
      </c>
      <c r="AE324">
        <v>158.6</v>
      </c>
      <c r="AF324">
        <v>165</v>
      </c>
      <c r="AG324">
        <v>2186.6999999999998</v>
      </c>
      <c r="AH324">
        <v>196.4</v>
      </c>
      <c r="AI324">
        <v>313.2</v>
      </c>
      <c r="AJ324">
        <v>804.30000000000007</v>
      </c>
      <c r="AK324">
        <v>166.1</v>
      </c>
      <c r="AL324">
        <v>152.69999999999999</v>
      </c>
      <c r="AM324">
        <v>158.4</v>
      </c>
      <c r="AN324">
        <v>161</v>
      </c>
    </row>
    <row r="325" spans="1:40" x14ac:dyDescent="0.25">
      <c r="A325" t="s">
        <v>33</v>
      </c>
      <c r="B325">
        <v>2022</v>
      </c>
      <c r="C325" t="s">
        <v>31</v>
      </c>
      <c r="D325" t="s">
        <v>220</v>
      </c>
      <c r="E325">
        <v>149.5</v>
      </c>
      <c r="F325">
        <v>198.7</v>
      </c>
      <c r="G325">
        <v>178.8</v>
      </c>
      <c r="H325">
        <v>160.5</v>
      </c>
      <c r="I325">
        <v>184.7</v>
      </c>
      <c r="J325">
        <v>153.69999999999999</v>
      </c>
      <c r="K325">
        <v>174.3</v>
      </c>
      <c r="L325">
        <v>163.9</v>
      </c>
      <c r="M325">
        <v>120</v>
      </c>
      <c r="N325">
        <v>172.1</v>
      </c>
      <c r="O325">
        <v>164.3</v>
      </c>
      <c r="P325">
        <v>177.3</v>
      </c>
      <c r="Q325">
        <v>166.4</v>
      </c>
      <c r="R325">
        <v>192.2</v>
      </c>
      <c r="S325">
        <v>169.9</v>
      </c>
      <c r="T325">
        <v>160.69999999999999</v>
      </c>
      <c r="U325">
        <v>168.5</v>
      </c>
      <c r="V325">
        <v>164.5</v>
      </c>
      <c r="W325">
        <v>164.5</v>
      </c>
      <c r="X325">
        <v>164.2</v>
      </c>
      <c r="Y325">
        <v>161.1</v>
      </c>
      <c r="Z325">
        <v>171.4</v>
      </c>
      <c r="AA325">
        <v>156.5</v>
      </c>
      <c r="AB325">
        <v>161.19999999999999</v>
      </c>
      <c r="AC325">
        <v>164.7</v>
      </c>
      <c r="AD325">
        <v>163</v>
      </c>
      <c r="AE325">
        <v>162.69999999999999</v>
      </c>
      <c r="AF325">
        <v>165.7</v>
      </c>
      <c r="AG325">
        <v>2164.1999999999998</v>
      </c>
      <c r="AH325">
        <v>192.2</v>
      </c>
      <c r="AI325">
        <v>330.6</v>
      </c>
      <c r="AJ325">
        <v>815.5</v>
      </c>
      <c r="AK325">
        <v>171.4</v>
      </c>
      <c r="AL325">
        <v>156.5</v>
      </c>
      <c r="AM325">
        <v>161.19999999999999</v>
      </c>
      <c r="AN325">
        <v>164.7</v>
      </c>
    </row>
    <row r="326" spans="1:40" x14ac:dyDescent="0.25">
      <c r="A326" t="s">
        <v>30</v>
      </c>
      <c r="B326">
        <v>2022</v>
      </c>
      <c r="C326" t="s">
        <v>34</v>
      </c>
      <c r="D326" t="s">
        <v>219</v>
      </c>
      <c r="E326">
        <v>148.80000000000001</v>
      </c>
      <c r="F326">
        <v>198.1</v>
      </c>
      <c r="G326">
        <v>175.5</v>
      </c>
      <c r="H326">
        <v>160.69999999999999</v>
      </c>
      <c r="I326">
        <v>192.6</v>
      </c>
      <c r="J326">
        <v>151.4</v>
      </c>
      <c r="K326">
        <v>155.19999999999999</v>
      </c>
      <c r="L326">
        <v>163.9</v>
      </c>
      <c r="M326">
        <v>118.1</v>
      </c>
      <c r="N326">
        <v>175.4</v>
      </c>
      <c r="O326">
        <v>170.5</v>
      </c>
      <c r="P326">
        <v>176.3</v>
      </c>
      <c r="Q326">
        <v>163.9</v>
      </c>
      <c r="R326">
        <v>191.5</v>
      </c>
      <c r="S326">
        <v>174.1</v>
      </c>
      <c r="T326">
        <v>171</v>
      </c>
      <c r="U326">
        <v>173.7</v>
      </c>
      <c r="V326" t="s">
        <v>47</v>
      </c>
      <c r="W326">
        <v>165.5</v>
      </c>
      <c r="X326">
        <v>167.4</v>
      </c>
      <c r="Y326">
        <v>165.7</v>
      </c>
      <c r="Z326">
        <v>175.3</v>
      </c>
      <c r="AA326">
        <v>161.19999999999999</v>
      </c>
      <c r="AB326">
        <v>165.5</v>
      </c>
      <c r="AC326">
        <v>170.3</v>
      </c>
      <c r="AD326">
        <v>164.5</v>
      </c>
      <c r="AE326">
        <v>167.3</v>
      </c>
      <c r="AF326">
        <v>166.7</v>
      </c>
      <c r="AG326">
        <v>2150.4</v>
      </c>
      <c r="AH326">
        <v>191.5</v>
      </c>
      <c r="AI326">
        <v>345.1</v>
      </c>
      <c r="AJ326">
        <v>830.39999999999986</v>
      </c>
      <c r="AK326">
        <v>175.3</v>
      </c>
      <c r="AL326">
        <v>161.19999999999999</v>
      </c>
      <c r="AM326">
        <v>165.5</v>
      </c>
      <c r="AN326">
        <v>170.3</v>
      </c>
    </row>
    <row r="327" spans="1:40" x14ac:dyDescent="0.25">
      <c r="A327" t="s">
        <v>32</v>
      </c>
      <c r="B327">
        <v>2022</v>
      </c>
      <c r="C327" t="s">
        <v>34</v>
      </c>
      <c r="D327" t="s">
        <v>219</v>
      </c>
      <c r="E327">
        <v>152.5</v>
      </c>
      <c r="F327">
        <v>205.2</v>
      </c>
      <c r="G327">
        <v>176.4</v>
      </c>
      <c r="H327">
        <v>160.6</v>
      </c>
      <c r="I327">
        <v>171.5</v>
      </c>
      <c r="J327">
        <v>156.4</v>
      </c>
      <c r="K327">
        <v>198</v>
      </c>
      <c r="L327">
        <v>163.19999999999999</v>
      </c>
      <c r="M327">
        <v>120.6</v>
      </c>
      <c r="N327">
        <v>172.2</v>
      </c>
      <c r="O327">
        <v>156.69999999999999</v>
      </c>
      <c r="P327">
        <v>180</v>
      </c>
      <c r="Q327">
        <v>170.2</v>
      </c>
      <c r="R327">
        <v>196.5</v>
      </c>
      <c r="S327">
        <v>165.7</v>
      </c>
      <c r="T327">
        <v>150.4</v>
      </c>
      <c r="U327">
        <v>163.4</v>
      </c>
      <c r="V327">
        <v>165.5</v>
      </c>
      <c r="W327">
        <v>165.5</v>
      </c>
      <c r="X327">
        <v>163</v>
      </c>
      <c r="Y327">
        <v>157.4</v>
      </c>
      <c r="Z327">
        <v>167.2</v>
      </c>
      <c r="AA327">
        <v>153.1</v>
      </c>
      <c r="AB327">
        <v>159.5</v>
      </c>
      <c r="AC327">
        <v>162</v>
      </c>
      <c r="AD327">
        <v>164.2</v>
      </c>
      <c r="AE327">
        <v>159.4</v>
      </c>
      <c r="AF327">
        <v>165.5</v>
      </c>
      <c r="AG327">
        <v>2183.5</v>
      </c>
      <c r="AH327">
        <v>196.5</v>
      </c>
      <c r="AI327">
        <v>316.10000000000002</v>
      </c>
      <c r="AJ327">
        <v>809.49999999999989</v>
      </c>
      <c r="AK327">
        <v>167.2</v>
      </c>
      <c r="AL327">
        <v>153.1</v>
      </c>
      <c r="AM327">
        <v>159.5</v>
      </c>
      <c r="AN327">
        <v>162</v>
      </c>
    </row>
    <row r="328" spans="1:40" x14ac:dyDescent="0.25">
      <c r="A328" t="s">
        <v>33</v>
      </c>
      <c r="B328">
        <v>2022</v>
      </c>
      <c r="C328" t="s">
        <v>34</v>
      </c>
      <c r="D328" t="s">
        <v>219</v>
      </c>
      <c r="E328">
        <v>150</v>
      </c>
      <c r="F328">
        <v>200.6</v>
      </c>
      <c r="G328">
        <v>175.8</v>
      </c>
      <c r="H328">
        <v>160.69999999999999</v>
      </c>
      <c r="I328">
        <v>184.9</v>
      </c>
      <c r="J328">
        <v>153.69999999999999</v>
      </c>
      <c r="K328">
        <v>169.7</v>
      </c>
      <c r="L328">
        <v>163.69999999999999</v>
      </c>
      <c r="M328">
        <v>118.9</v>
      </c>
      <c r="N328">
        <v>174.3</v>
      </c>
      <c r="O328">
        <v>164.7</v>
      </c>
      <c r="P328">
        <v>178</v>
      </c>
      <c r="Q328">
        <v>166.2</v>
      </c>
      <c r="R328">
        <v>192.8</v>
      </c>
      <c r="S328">
        <v>170.8</v>
      </c>
      <c r="T328">
        <v>162.4</v>
      </c>
      <c r="U328">
        <v>169.6</v>
      </c>
      <c r="V328">
        <v>165.5</v>
      </c>
      <c r="W328">
        <v>165.5</v>
      </c>
      <c r="X328">
        <v>165.7</v>
      </c>
      <c r="Y328">
        <v>161.80000000000001</v>
      </c>
      <c r="Z328">
        <v>172.2</v>
      </c>
      <c r="AA328">
        <v>156.9</v>
      </c>
      <c r="AB328">
        <v>162.1</v>
      </c>
      <c r="AC328">
        <v>165.4</v>
      </c>
      <c r="AD328">
        <v>164.4</v>
      </c>
      <c r="AE328">
        <v>163.5</v>
      </c>
      <c r="AF328">
        <v>166.1</v>
      </c>
      <c r="AG328">
        <v>2161.2000000000003</v>
      </c>
      <c r="AH328">
        <v>192.8</v>
      </c>
      <c r="AI328">
        <v>333.20000000000005</v>
      </c>
      <c r="AJ328">
        <v>820.9</v>
      </c>
      <c r="AK328">
        <v>172.2</v>
      </c>
      <c r="AL328">
        <v>156.9</v>
      </c>
      <c r="AM328">
        <v>162.1</v>
      </c>
      <c r="AN328">
        <v>165.4</v>
      </c>
    </row>
    <row r="329" spans="1:40" x14ac:dyDescent="0.25">
      <c r="A329" t="s">
        <v>30</v>
      </c>
      <c r="B329">
        <v>2022</v>
      </c>
      <c r="C329" t="s">
        <v>35</v>
      </c>
      <c r="D329" t="s">
        <v>221</v>
      </c>
      <c r="E329">
        <v>150.19999999999999</v>
      </c>
      <c r="F329">
        <v>208</v>
      </c>
      <c r="G329">
        <v>167.9</v>
      </c>
      <c r="H329">
        <v>162</v>
      </c>
      <c r="I329">
        <v>203.1</v>
      </c>
      <c r="J329">
        <v>155.9</v>
      </c>
      <c r="K329">
        <v>155.80000000000001</v>
      </c>
      <c r="L329">
        <v>164.2</v>
      </c>
      <c r="M329">
        <v>118.1</v>
      </c>
      <c r="N329">
        <v>178.7</v>
      </c>
      <c r="O329">
        <v>171.2</v>
      </c>
      <c r="P329">
        <v>177.4</v>
      </c>
      <c r="Q329">
        <v>166.6</v>
      </c>
      <c r="R329">
        <v>192.3</v>
      </c>
      <c r="S329">
        <v>175.4</v>
      </c>
      <c r="T329">
        <v>173.2</v>
      </c>
      <c r="U329">
        <v>175.1</v>
      </c>
      <c r="V329" t="s">
        <v>47</v>
      </c>
      <c r="W329">
        <v>165.3</v>
      </c>
      <c r="X329">
        <v>168.9</v>
      </c>
      <c r="Y329">
        <v>166.5</v>
      </c>
      <c r="Z329">
        <v>176</v>
      </c>
      <c r="AA329">
        <v>162</v>
      </c>
      <c r="AB329">
        <v>166.6</v>
      </c>
      <c r="AC329">
        <v>170.6</v>
      </c>
      <c r="AD329">
        <v>167.4</v>
      </c>
      <c r="AE329">
        <v>168.3</v>
      </c>
      <c r="AF329">
        <v>168.7</v>
      </c>
      <c r="AG329">
        <v>2179.1000000000004</v>
      </c>
      <c r="AH329">
        <v>192.3</v>
      </c>
      <c r="AI329">
        <v>348.6</v>
      </c>
      <c r="AJ329">
        <v>836.40000000000009</v>
      </c>
      <c r="AK329">
        <v>176</v>
      </c>
      <c r="AL329">
        <v>162</v>
      </c>
      <c r="AM329">
        <v>166.6</v>
      </c>
      <c r="AN329">
        <v>170.6</v>
      </c>
    </row>
    <row r="330" spans="1:40" x14ac:dyDescent="0.25">
      <c r="A330" t="s">
        <v>32</v>
      </c>
      <c r="B330">
        <v>2022</v>
      </c>
      <c r="C330" t="s">
        <v>35</v>
      </c>
      <c r="D330" t="s">
        <v>221</v>
      </c>
      <c r="E330">
        <v>153.69999999999999</v>
      </c>
      <c r="F330">
        <v>215.8</v>
      </c>
      <c r="G330">
        <v>167.7</v>
      </c>
      <c r="H330">
        <v>162.6</v>
      </c>
      <c r="I330">
        <v>180</v>
      </c>
      <c r="J330">
        <v>159.6</v>
      </c>
      <c r="K330">
        <v>188.4</v>
      </c>
      <c r="L330">
        <v>163.4</v>
      </c>
      <c r="M330">
        <v>120.3</v>
      </c>
      <c r="N330">
        <v>174.7</v>
      </c>
      <c r="O330">
        <v>157.1</v>
      </c>
      <c r="P330">
        <v>181.5</v>
      </c>
      <c r="Q330">
        <v>171.5</v>
      </c>
      <c r="R330">
        <v>197.5</v>
      </c>
      <c r="S330">
        <v>167.1</v>
      </c>
      <c r="T330">
        <v>152.6</v>
      </c>
      <c r="U330">
        <v>164.9</v>
      </c>
      <c r="V330">
        <v>165.3</v>
      </c>
      <c r="W330">
        <v>165.3</v>
      </c>
      <c r="X330">
        <v>164.5</v>
      </c>
      <c r="Y330">
        <v>158.6</v>
      </c>
      <c r="Z330">
        <v>168.2</v>
      </c>
      <c r="AA330">
        <v>154.19999999999999</v>
      </c>
      <c r="AB330">
        <v>160.80000000000001</v>
      </c>
      <c r="AC330">
        <v>162.69999999999999</v>
      </c>
      <c r="AD330">
        <v>166.8</v>
      </c>
      <c r="AE330">
        <v>160.6</v>
      </c>
      <c r="AF330">
        <v>166.5</v>
      </c>
      <c r="AG330">
        <v>2196.3000000000002</v>
      </c>
      <c r="AH330">
        <v>197.5</v>
      </c>
      <c r="AI330">
        <v>319.7</v>
      </c>
      <c r="AJ330">
        <v>815.80000000000007</v>
      </c>
      <c r="AK330">
        <v>168.2</v>
      </c>
      <c r="AL330">
        <v>154.19999999999999</v>
      </c>
      <c r="AM330">
        <v>160.80000000000001</v>
      </c>
      <c r="AN330">
        <v>162.69999999999999</v>
      </c>
    </row>
    <row r="331" spans="1:40" x14ac:dyDescent="0.25">
      <c r="A331" t="s">
        <v>33</v>
      </c>
      <c r="B331">
        <v>2022</v>
      </c>
      <c r="C331" t="s">
        <v>35</v>
      </c>
      <c r="D331" t="s">
        <v>221</v>
      </c>
      <c r="E331">
        <v>151.30000000000001</v>
      </c>
      <c r="F331">
        <v>210.7</v>
      </c>
      <c r="G331">
        <v>167.8</v>
      </c>
      <c r="H331">
        <v>162.19999999999999</v>
      </c>
      <c r="I331">
        <v>194.6</v>
      </c>
      <c r="J331">
        <v>157.6</v>
      </c>
      <c r="K331">
        <v>166.9</v>
      </c>
      <c r="L331">
        <v>163.9</v>
      </c>
      <c r="M331">
        <v>118.8</v>
      </c>
      <c r="N331">
        <v>177.4</v>
      </c>
      <c r="O331">
        <v>165.3</v>
      </c>
      <c r="P331">
        <v>179.3</v>
      </c>
      <c r="Q331">
        <v>168.4</v>
      </c>
      <c r="R331">
        <v>193.7</v>
      </c>
      <c r="S331">
        <v>172.1</v>
      </c>
      <c r="T331">
        <v>164.6</v>
      </c>
      <c r="U331">
        <v>171.1</v>
      </c>
      <c r="V331">
        <v>165.3</v>
      </c>
      <c r="W331">
        <v>165.3</v>
      </c>
      <c r="X331">
        <v>167.2</v>
      </c>
      <c r="Y331">
        <v>162.80000000000001</v>
      </c>
      <c r="Z331">
        <v>173</v>
      </c>
      <c r="AA331">
        <v>157.9</v>
      </c>
      <c r="AB331">
        <v>163.30000000000001</v>
      </c>
      <c r="AC331">
        <v>166</v>
      </c>
      <c r="AD331">
        <v>167.2</v>
      </c>
      <c r="AE331">
        <v>164.6</v>
      </c>
      <c r="AF331">
        <v>167.7</v>
      </c>
      <c r="AG331">
        <v>2184.2000000000003</v>
      </c>
      <c r="AH331">
        <v>193.7</v>
      </c>
      <c r="AI331">
        <v>336.7</v>
      </c>
      <c r="AJ331">
        <v>827.1</v>
      </c>
      <c r="AK331">
        <v>173</v>
      </c>
      <c r="AL331">
        <v>157.9</v>
      </c>
      <c r="AM331">
        <v>163.30000000000001</v>
      </c>
      <c r="AN331">
        <v>166</v>
      </c>
    </row>
    <row r="332" spans="1:40" x14ac:dyDescent="0.25">
      <c r="A332" t="s">
        <v>30</v>
      </c>
      <c r="B332">
        <v>2022</v>
      </c>
      <c r="C332" t="s">
        <v>36</v>
      </c>
      <c r="D332" t="s">
        <v>218</v>
      </c>
      <c r="E332">
        <v>151.80000000000001</v>
      </c>
      <c r="F332">
        <v>209.7</v>
      </c>
      <c r="G332">
        <v>164.5</v>
      </c>
      <c r="H332">
        <v>163.80000000000001</v>
      </c>
      <c r="I332">
        <v>207.4</v>
      </c>
      <c r="J332">
        <v>169.7</v>
      </c>
      <c r="K332">
        <v>153.6</v>
      </c>
      <c r="L332">
        <v>165.1</v>
      </c>
      <c r="M332">
        <v>118.2</v>
      </c>
      <c r="N332">
        <v>182.9</v>
      </c>
      <c r="O332">
        <v>172.4</v>
      </c>
      <c r="P332">
        <v>178.9</v>
      </c>
      <c r="Q332">
        <v>168.6</v>
      </c>
      <c r="R332">
        <v>192.8</v>
      </c>
      <c r="S332">
        <v>177.5</v>
      </c>
      <c r="T332">
        <v>175.1</v>
      </c>
      <c r="U332">
        <v>177.1</v>
      </c>
      <c r="V332" t="s">
        <v>47</v>
      </c>
      <c r="W332">
        <v>167</v>
      </c>
      <c r="X332">
        <v>173.3</v>
      </c>
      <c r="Y332">
        <v>167.7</v>
      </c>
      <c r="Z332">
        <v>177</v>
      </c>
      <c r="AA332">
        <v>166.2</v>
      </c>
      <c r="AB332">
        <v>167.2</v>
      </c>
      <c r="AC332">
        <v>170.9</v>
      </c>
      <c r="AD332">
        <v>169</v>
      </c>
      <c r="AE332">
        <v>170.2</v>
      </c>
      <c r="AF332">
        <v>170.8</v>
      </c>
      <c r="AG332">
        <v>2206.6</v>
      </c>
      <c r="AH332">
        <v>192.8</v>
      </c>
      <c r="AI332">
        <v>352.6</v>
      </c>
      <c r="AJ332">
        <v>847.2</v>
      </c>
      <c r="AK332">
        <v>177</v>
      </c>
      <c r="AL332">
        <v>166.2</v>
      </c>
      <c r="AM332">
        <v>167.2</v>
      </c>
      <c r="AN332">
        <v>170.9</v>
      </c>
    </row>
    <row r="333" spans="1:40" x14ac:dyDescent="0.25">
      <c r="A333" t="s">
        <v>32</v>
      </c>
      <c r="B333">
        <v>2022</v>
      </c>
      <c r="C333" t="s">
        <v>36</v>
      </c>
      <c r="D333" t="s">
        <v>218</v>
      </c>
      <c r="E333">
        <v>155.4</v>
      </c>
      <c r="F333">
        <v>215.8</v>
      </c>
      <c r="G333">
        <v>164.6</v>
      </c>
      <c r="H333">
        <v>164.2</v>
      </c>
      <c r="I333">
        <v>186</v>
      </c>
      <c r="J333">
        <v>175.9</v>
      </c>
      <c r="K333">
        <v>190.7</v>
      </c>
      <c r="L333">
        <v>164</v>
      </c>
      <c r="M333">
        <v>120.5</v>
      </c>
      <c r="N333">
        <v>178</v>
      </c>
      <c r="O333">
        <v>157.5</v>
      </c>
      <c r="P333">
        <v>183.3</v>
      </c>
      <c r="Q333">
        <v>174.5</v>
      </c>
      <c r="R333">
        <v>197.1</v>
      </c>
      <c r="S333">
        <v>168.4</v>
      </c>
      <c r="T333">
        <v>154.5</v>
      </c>
      <c r="U333">
        <v>166.3</v>
      </c>
      <c r="V333">
        <v>167</v>
      </c>
      <c r="W333">
        <v>167</v>
      </c>
      <c r="X333">
        <v>170.5</v>
      </c>
      <c r="Y333">
        <v>159.80000000000001</v>
      </c>
      <c r="Z333">
        <v>169</v>
      </c>
      <c r="AA333">
        <v>159.30000000000001</v>
      </c>
      <c r="AB333">
        <v>162.19999999999999</v>
      </c>
      <c r="AC333">
        <v>164</v>
      </c>
      <c r="AD333">
        <v>168.4</v>
      </c>
      <c r="AE333">
        <v>163.1</v>
      </c>
      <c r="AF333">
        <v>169.2</v>
      </c>
      <c r="AG333">
        <v>2230.4</v>
      </c>
      <c r="AH333">
        <v>197.1</v>
      </c>
      <c r="AI333">
        <v>322.89999999999998</v>
      </c>
      <c r="AJ333">
        <v>828.80000000000007</v>
      </c>
      <c r="AK333">
        <v>169</v>
      </c>
      <c r="AL333">
        <v>159.30000000000001</v>
      </c>
      <c r="AM333">
        <v>162.19999999999999</v>
      </c>
      <c r="AN333">
        <v>164</v>
      </c>
    </row>
    <row r="334" spans="1:40" x14ac:dyDescent="0.25">
      <c r="A334" t="s">
        <v>33</v>
      </c>
      <c r="B334">
        <v>2022</v>
      </c>
      <c r="C334" t="s">
        <v>36</v>
      </c>
      <c r="D334" t="s">
        <v>218</v>
      </c>
      <c r="E334">
        <v>152.9</v>
      </c>
      <c r="F334">
        <v>211.8</v>
      </c>
      <c r="G334">
        <v>164.5</v>
      </c>
      <c r="H334">
        <v>163.9</v>
      </c>
      <c r="I334">
        <v>199.5</v>
      </c>
      <c r="J334">
        <v>172.6</v>
      </c>
      <c r="K334">
        <v>166.2</v>
      </c>
      <c r="L334">
        <v>164.7</v>
      </c>
      <c r="M334">
        <v>119</v>
      </c>
      <c r="N334">
        <v>181.3</v>
      </c>
      <c r="O334">
        <v>166.2</v>
      </c>
      <c r="P334">
        <v>180.9</v>
      </c>
      <c r="Q334">
        <v>170.8</v>
      </c>
      <c r="R334">
        <v>193.9</v>
      </c>
      <c r="S334">
        <v>173.9</v>
      </c>
      <c r="T334">
        <v>166.5</v>
      </c>
      <c r="U334">
        <v>172.8</v>
      </c>
      <c r="V334">
        <v>167</v>
      </c>
      <c r="W334">
        <v>167</v>
      </c>
      <c r="X334">
        <v>172.2</v>
      </c>
      <c r="Y334">
        <v>164</v>
      </c>
      <c r="Z334">
        <v>174</v>
      </c>
      <c r="AA334">
        <v>162.6</v>
      </c>
      <c r="AB334">
        <v>164.4</v>
      </c>
      <c r="AC334">
        <v>166.9</v>
      </c>
      <c r="AD334">
        <v>168.8</v>
      </c>
      <c r="AE334">
        <v>166.8</v>
      </c>
      <c r="AF334">
        <v>170.1</v>
      </c>
      <c r="AG334">
        <v>2214.3000000000002</v>
      </c>
      <c r="AH334">
        <v>193.9</v>
      </c>
      <c r="AI334">
        <v>340.4</v>
      </c>
      <c r="AJ334">
        <v>838.8</v>
      </c>
      <c r="AK334">
        <v>174</v>
      </c>
      <c r="AL334">
        <v>162.6</v>
      </c>
      <c r="AM334">
        <v>164.4</v>
      </c>
      <c r="AN334">
        <v>166.9</v>
      </c>
    </row>
    <row r="335" spans="1:40" x14ac:dyDescent="0.25">
      <c r="A335" t="s">
        <v>30</v>
      </c>
      <c r="B335">
        <v>2022</v>
      </c>
      <c r="C335" t="s">
        <v>37</v>
      </c>
      <c r="D335" t="s">
        <v>80</v>
      </c>
      <c r="E335">
        <v>152.9</v>
      </c>
      <c r="F335">
        <v>214.7</v>
      </c>
      <c r="G335">
        <v>161.4</v>
      </c>
      <c r="H335">
        <v>164.6</v>
      </c>
      <c r="I335">
        <v>209.9</v>
      </c>
      <c r="J335">
        <v>168</v>
      </c>
      <c r="K335">
        <v>160.4</v>
      </c>
      <c r="L335">
        <v>165</v>
      </c>
      <c r="M335">
        <v>118.9</v>
      </c>
      <c r="N335">
        <v>186.6</v>
      </c>
      <c r="O335">
        <v>173.2</v>
      </c>
      <c r="P335">
        <v>180.4</v>
      </c>
      <c r="Q335">
        <v>170.8</v>
      </c>
      <c r="R335">
        <v>192.9</v>
      </c>
      <c r="S335">
        <v>179.3</v>
      </c>
      <c r="T335">
        <v>177.2</v>
      </c>
      <c r="U335">
        <v>179</v>
      </c>
      <c r="V335" t="s">
        <v>47</v>
      </c>
      <c r="W335">
        <v>167.5</v>
      </c>
      <c r="X335">
        <v>175.3</v>
      </c>
      <c r="Y335">
        <v>168.9</v>
      </c>
      <c r="Z335">
        <v>177.7</v>
      </c>
      <c r="AA335">
        <v>167.1</v>
      </c>
      <c r="AB335">
        <v>167.6</v>
      </c>
      <c r="AC335">
        <v>171.8</v>
      </c>
      <c r="AD335">
        <v>168.5</v>
      </c>
      <c r="AE335">
        <v>170.9</v>
      </c>
      <c r="AF335">
        <v>172.5</v>
      </c>
      <c r="AG335">
        <v>2226.8000000000002</v>
      </c>
      <c r="AH335">
        <v>192.9</v>
      </c>
      <c r="AI335">
        <v>356.5</v>
      </c>
      <c r="AJ335">
        <v>851.1</v>
      </c>
      <c r="AK335">
        <v>177.7</v>
      </c>
      <c r="AL335">
        <v>167.1</v>
      </c>
      <c r="AM335">
        <v>167.6</v>
      </c>
      <c r="AN335">
        <v>171.8</v>
      </c>
    </row>
    <row r="336" spans="1:40" x14ac:dyDescent="0.25">
      <c r="A336" t="s">
        <v>32</v>
      </c>
      <c r="B336">
        <v>2022</v>
      </c>
      <c r="C336" t="s">
        <v>37</v>
      </c>
      <c r="D336" t="s">
        <v>80</v>
      </c>
      <c r="E336">
        <v>156.69999999999999</v>
      </c>
      <c r="F336">
        <v>221.2</v>
      </c>
      <c r="G336">
        <v>164.1</v>
      </c>
      <c r="H336">
        <v>165.4</v>
      </c>
      <c r="I336">
        <v>189.5</v>
      </c>
      <c r="J336">
        <v>174.5</v>
      </c>
      <c r="K336">
        <v>203.2</v>
      </c>
      <c r="L336">
        <v>164.1</v>
      </c>
      <c r="M336">
        <v>121.2</v>
      </c>
      <c r="N336">
        <v>181.4</v>
      </c>
      <c r="O336">
        <v>158.5</v>
      </c>
      <c r="P336">
        <v>184.9</v>
      </c>
      <c r="Q336">
        <v>177.5</v>
      </c>
      <c r="R336">
        <v>197.5</v>
      </c>
      <c r="S336">
        <v>170</v>
      </c>
      <c r="T336">
        <v>155.9</v>
      </c>
      <c r="U336">
        <v>167.8</v>
      </c>
      <c r="V336">
        <v>167.5</v>
      </c>
      <c r="W336">
        <v>167.5</v>
      </c>
      <c r="X336">
        <v>173.5</v>
      </c>
      <c r="Y336">
        <v>161.1</v>
      </c>
      <c r="Z336">
        <v>170.1</v>
      </c>
      <c r="AA336">
        <v>159.4</v>
      </c>
      <c r="AB336">
        <v>163.19999999999999</v>
      </c>
      <c r="AC336">
        <v>165.2</v>
      </c>
      <c r="AD336">
        <v>168.2</v>
      </c>
      <c r="AE336">
        <v>163.80000000000001</v>
      </c>
      <c r="AF336">
        <v>170.8</v>
      </c>
      <c r="AG336">
        <v>2262.2000000000003</v>
      </c>
      <c r="AH336">
        <v>197.5</v>
      </c>
      <c r="AI336">
        <v>325.89999999999998</v>
      </c>
      <c r="AJ336">
        <v>834.09999999999991</v>
      </c>
      <c r="AK336">
        <v>170.1</v>
      </c>
      <c r="AL336">
        <v>159.4</v>
      </c>
      <c r="AM336">
        <v>163.19999999999999</v>
      </c>
      <c r="AN336">
        <v>165.2</v>
      </c>
    </row>
    <row r="337" spans="1:40" x14ac:dyDescent="0.25">
      <c r="A337" t="s">
        <v>33</v>
      </c>
      <c r="B337">
        <v>2022</v>
      </c>
      <c r="C337" t="s">
        <v>37</v>
      </c>
      <c r="D337" t="s">
        <v>80</v>
      </c>
      <c r="E337">
        <v>154.1</v>
      </c>
      <c r="F337">
        <v>217</v>
      </c>
      <c r="G337">
        <v>162.4</v>
      </c>
      <c r="H337">
        <v>164.9</v>
      </c>
      <c r="I337">
        <v>202.4</v>
      </c>
      <c r="J337">
        <v>171</v>
      </c>
      <c r="K337">
        <v>174.9</v>
      </c>
      <c r="L337">
        <v>164.7</v>
      </c>
      <c r="M337">
        <v>119.7</v>
      </c>
      <c r="N337">
        <v>184.9</v>
      </c>
      <c r="O337">
        <v>167.1</v>
      </c>
      <c r="P337">
        <v>182.5</v>
      </c>
      <c r="Q337">
        <v>173.3</v>
      </c>
      <c r="R337">
        <v>194.1</v>
      </c>
      <c r="S337">
        <v>175.6</v>
      </c>
      <c r="T337">
        <v>168.4</v>
      </c>
      <c r="U337">
        <v>174.6</v>
      </c>
      <c r="V337">
        <v>167.5</v>
      </c>
      <c r="W337">
        <v>167.5</v>
      </c>
      <c r="X337">
        <v>174.6</v>
      </c>
      <c r="Y337">
        <v>165.2</v>
      </c>
      <c r="Z337">
        <v>174.8</v>
      </c>
      <c r="AA337">
        <v>163</v>
      </c>
      <c r="AB337">
        <v>165.1</v>
      </c>
      <c r="AC337">
        <v>167.9</v>
      </c>
      <c r="AD337">
        <v>168.4</v>
      </c>
      <c r="AE337">
        <v>167.5</v>
      </c>
      <c r="AF337">
        <v>171.7</v>
      </c>
      <c r="AG337">
        <v>2238.9000000000005</v>
      </c>
      <c r="AH337">
        <v>194.1</v>
      </c>
      <c r="AI337">
        <v>344</v>
      </c>
      <c r="AJ337">
        <v>843.2</v>
      </c>
      <c r="AK337">
        <v>174.8</v>
      </c>
      <c r="AL337">
        <v>163</v>
      </c>
      <c r="AM337">
        <v>165.1</v>
      </c>
      <c r="AN337">
        <v>167.9</v>
      </c>
    </row>
    <row r="338" spans="1:40" x14ac:dyDescent="0.25">
      <c r="A338" t="s">
        <v>30</v>
      </c>
      <c r="B338">
        <v>2022</v>
      </c>
      <c r="C338" t="s">
        <v>38</v>
      </c>
      <c r="D338" t="s">
        <v>79</v>
      </c>
      <c r="E338">
        <v>153.80000000000001</v>
      </c>
      <c r="F338">
        <v>217.2</v>
      </c>
      <c r="G338">
        <v>169.6</v>
      </c>
      <c r="H338">
        <v>165.4</v>
      </c>
      <c r="I338">
        <v>208.1</v>
      </c>
      <c r="J338">
        <v>165.8</v>
      </c>
      <c r="K338">
        <v>167.3</v>
      </c>
      <c r="L338">
        <v>164.6</v>
      </c>
      <c r="M338">
        <v>119.1</v>
      </c>
      <c r="N338">
        <v>188.9</v>
      </c>
      <c r="O338">
        <v>174.2</v>
      </c>
      <c r="P338">
        <v>181.9</v>
      </c>
      <c r="Q338">
        <v>172.4</v>
      </c>
      <c r="R338">
        <v>192.9</v>
      </c>
      <c r="S338">
        <v>180.7</v>
      </c>
      <c r="T338">
        <v>178.7</v>
      </c>
      <c r="U338">
        <v>180.4</v>
      </c>
      <c r="V338" t="s">
        <v>47</v>
      </c>
      <c r="W338">
        <v>166.8</v>
      </c>
      <c r="X338">
        <v>176.7</v>
      </c>
      <c r="Y338">
        <v>170.3</v>
      </c>
      <c r="Z338">
        <v>178.2</v>
      </c>
      <c r="AA338">
        <v>165.5</v>
      </c>
      <c r="AB338">
        <v>168</v>
      </c>
      <c r="AC338">
        <v>172.6</v>
      </c>
      <c r="AD338">
        <v>169.5</v>
      </c>
      <c r="AE338">
        <v>171</v>
      </c>
      <c r="AF338">
        <v>173.6</v>
      </c>
      <c r="AG338">
        <v>2248.3000000000002</v>
      </c>
      <c r="AH338">
        <v>192.9</v>
      </c>
      <c r="AI338">
        <v>359.4</v>
      </c>
      <c r="AJ338">
        <v>854.3</v>
      </c>
      <c r="AK338">
        <v>178.2</v>
      </c>
      <c r="AL338">
        <v>165.5</v>
      </c>
      <c r="AM338">
        <v>168</v>
      </c>
      <c r="AN338">
        <v>172.6</v>
      </c>
    </row>
    <row r="339" spans="1:40" x14ac:dyDescent="0.25">
      <c r="A339" t="s">
        <v>32</v>
      </c>
      <c r="B339">
        <v>2022</v>
      </c>
      <c r="C339" t="s">
        <v>38</v>
      </c>
      <c r="D339" t="s">
        <v>79</v>
      </c>
      <c r="E339">
        <v>157.5</v>
      </c>
      <c r="F339">
        <v>223.4</v>
      </c>
      <c r="G339">
        <v>172.8</v>
      </c>
      <c r="H339">
        <v>166.4</v>
      </c>
      <c r="I339">
        <v>188.6</v>
      </c>
      <c r="J339">
        <v>174.1</v>
      </c>
      <c r="K339">
        <v>211.5</v>
      </c>
      <c r="L339">
        <v>163.6</v>
      </c>
      <c r="M339">
        <v>121.4</v>
      </c>
      <c r="N339">
        <v>183.5</v>
      </c>
      <c r="O339">
        <v>159.1</v>
      </c>
      <c r="P339">
        <v>186.3</v>
      </c>
      <c r="Q339">
        <v>179.3</v>
      </c>
      <c r="R339">
        <v>198.3</v>
      </c>
      <c r="S339">
        <v>171.6</v>
      </c>
      <c r="T339">
        <v>157.4</v>
      </c>
      <c r="U339">
        <v>169.4</v>
      </c>
      <c r="V339">
        <v>166.8</v>
      </c>
      <c r="W339">
        <v>166.8</v>
      </c>
      <c r="X339">
        <v>174.9</v>
      </c>
      <c r="Y339">
        <v>162.1</v>
      </c>
      <c r="Z339">
        <v>170.9</v>
      </c>
      <c r="AA339">
        <v>157.19999999999999</v>
      </c>
      <c r="AB339">
        <v>164.1</v>
      </c>
      <c r="AC339">
        <v>166.5</v>
      </c>
      <c r="AD339">
        <v>169.2</v>
      </c>
      <c r="AE339">
        <v>163.80000000000001</v>
      </c>
      <c r="AF339">
        <v>171.4</v>
      </c>
      <c r="AG339">
        <v>2287.5</v>
      </c>
      <c r="AH339">
        <v>198.3</v>
      </c>
      <c r="AI339">
        <v>329</v>
      </c>
      <c r="AJ339">
        <v>836.8</v>
      </c>
      <c r="AK339">
        <v>170.9</v>
      </c>
      <c r="AL339">
        <v>157.19999999999999</v>
      </c>
      <c r="AM339">
        <v>164.1</v>
      </c>
      <c r="AN339">
        <v>166.5</v>
      </c>
    </row>
    <row r="340" spans="1:40" x14ac:dyDescent="0.25">
      <c r="A340" t="s">
        <v>33</v>
      </c>
      <c r="B340">
        <v>2022</v>
      </c>
      <c r="C340" t="s">
        <v>38</v>
      </c>
      <c r="D340" t="s">
        <v>79</v>
      </c>
      <c r="E340">
        <v>155</v>
      </c>
      <c r="F340">
        <v>219.4</v>
      </c>
      <c r="G340">
        <v>170.8</v>
      </c>
      <c r="H340">
        <v>165.8</v>
      </c>
      <c r="I340">
        <v>200.9</v>
      </c>
      <c r="J340">
        <v>169.7</v>
      </c>
      <c r="K340">
        <v>182.3</v>
      </c>
      <c r="L340">
        <v>164.3</v>
      </c>
      <c r="M340">
        <v>119.9</v>
      </c>
      <c r="N340">
        <v>187.1</v>
      </c>
      <c r="O340">
        <v>167.9</v>
      </c>
      <c r="P340">
        <v>183.9</v>
      </c>
      <c r="Q340">
        <v>174.9</v>
      </c>
      <c r="R340">
        <v>194.3</v>
      </c>
      <c r="S340">
        <v>177.1</v>
      </c>
      <c r="T340">
        <v>169.9</v>
      </c>
      <c r="U340">
        <v>176</v>
      </c>
      <c r="V340">
        <v>166.8</v>
      </c>
      <c r="W340">
        <v>166.8</v>
      </c>
      <c r="X340">
        <v>176</v>
      </c>
      <c r="Y340">
        <v>166.4</v>
      </c>
      <c r="Z340">
        <v>175.4</v>
      </c>
      <c r="AA340">
        <v>161.1</v>
      </c>
      <c r="AB340">
        <v>165.8</v>
      </c>
      <c r="AC340">
        <v>169</v>
      </c>
      <c r="AD340">
        <v>169.4</v>
      </c>
      <c r="AE340">
        <v>167.5</v>
      </c>
      <c r="AF340">
        <v>172.6</v>
      </c>
      <c r="AG340">
        <v>2261.9</v>
      </c>
      <c r="AH340">
        <v>194.3</v>
      </c>
      <c r="AI340">
        <v>347</v>
      </c>
      <c r="AJ340">
        <v>846.1</v>
      </c>
      <c r="AK340">
        <v>175.4</v>
      </c>
      <c r="AL340">
        <v>161.1</v>
      </c>
      <c r="AM340">
        <v>165.8</v>
      </c>
      <c r="AN340">
        <v>169</v>
      </c>
    </row>
    <row r="341" spans="1:40" x14ac:dyDescent="0.25">
      <c r="A341" t="s">
        <v>30</v>
      </c>
      <c r="B341">
        <v>2022</v>
      </c>
      <c r="C341" t="s">
        <v>39</v>
      </c>
      <c r="D341" t="s">
        <v>78</v>
      </c>
      <c r="E341">
        <v>155.19999999999999</v>
      </c>
      <c r="F341">
        <v>210.8</v>
      </c>
      <c r="G341">
        <v>174.3</v>
      </c>
      <c r="H341">
        <v>166.3</v>
      </c>
      <c r="I341">
        <v>202.2</v>
      </c>
      <c r="J341">
        <v>169.6</v>
      </c>
      <c r="K341">
        <v>168.6</v>
      </c>
      <c r="L341">
        <v>164.4</v>
      </c>
      <c r="M341">
        <v>119.2</v>
      </c>
      <c r="N341">
        <v>191.8</v>
      </c>
      <c r="O341">
        <v>174.5</v>
      </c>
      <c r="P341">
        <v>183.1</v>
      </c>
      <c r="Q341">
        <v>172.5</v>
      </c>
      <c r="R341">
        <v>193.2</v>
      </c>
      <c r="S341">
        <v>182</v>
      </c>
      <c r="T341">
        <v>180.3</v>
      </c>
      <c r="U341">
        <v>181.7</v>
      </c>
      <c r="V341" t="s">
        <v>47</v>
      </c>
      <c r="W341">
        <v>167.8</v>
      </c>
      <c r="X341">
        <v>179.6</v>
      </c>
      <c r="Y341">
        <v>171.3</v>
      </c>
      <c r="Z341">
        <v>178.8</v>
      </c>
      <c r="AA341">
        <v>166.3</v>
      </c>
      <c r="AB341">
        <v>168.6</v>
      </c>
      <c r="AC341">
        <v>174.7</v>
      </c>
      <c r="AD341">
        <v>169.7</v>
      </c>
      <c r="AE341">
        <v>171.8</v>
      </c>
      <c r="AF341">
        <v>174.3</v>
      </c>
      <c r="AG341">
        <v>2252.5</v>
      </c>
      <c r="AH341">
        <v>193.2</v>
      </c>
      <c r="AI341">
        <v>362.3</v>
      </c>
      <c r="AJ341">
        <v>860.2</v>
      </c>
      <c r="AK341">
        <v>178.8</v>
      </c>
      <c r="AL341">
        <v>166.3</v>
      </c>
      <c r="AM341">
        <v>168.6</v>
      </c>
      <c r="AN341">
        <v>174.7</v>
      </c>
    </row>
    <row r="342" spans="1:40" x14ac:dyDescent="0.25">
      <c r="A342" t="s">
        <v>32</v>
      </c>
      <c r="B342">
        <v>2022</v>
      </c>
      <c r="C342" t="s">
        <v>39</v>
      </c>
      <c r="D342" t="s">
        <v>78</v>
      </c>
      <c r="E342">
        <v>159.30000000000001</v>
      </c>
      <c r="F342">
        <v>217.1</v>
      </c>
      <c r="G342">
        <v>176.6</v>
      </c>
      <c r="H342">
        <v>167.1</v>
      </c>
      <c r="I342">
        <v>184.8</v>
      </c>
      <c r="J342">
        <v>179.5</v>
      </c>
      <c r="K342">
        <v>208.5</v>
      </c>
      <c r="L342">
        <v>164</v>
      </c>
      <c r="M342">
        <v>121.5</v>
      </c>
      <c r="N342">
        <v>186.3</v>
      </c>
      <c r="O342">
        <v>159.80000000000001</v>
      </c>
      <c r="P342">
        <v>187.7</v>
      </c>
      <c r="Q342">
        <v>179.4</v>
      </c>
      <c r="R342">
        <v>198.6</v>
      </c>
      <c r="S342">
        <v>172.7</v>
      </c>
      <c r="T342">
        <v>158.69999999999999</v>
      </c>
      <c r="U342">
        <v>170.6</v>
      </c>
      <c r="V342">
        <v>167.8</v>
      </c>
      <c r="W342">
        <v>167.8</v>
      </c>
      <c r="X342">
        <v>179.5</v>
      </c>
      <c r="Y342">
        <v>163.1</v>
      </c>
      <c r="Z342">
        <v>171.7</v>
      </c>
      <c r="AA342">
        <v>157.4</v>
      </c>
      <c r="AB342">
        <v>164.6</v>
      </c>
      <c r="AC342">
        <v>169.1</v>
      </c>
      <c r="AD342">
        <v>169.8</v>
      </c>
      <c r="AE342">
        <v>164.7</v>
      </c>
      <c r="AF342">
        <v>172.3</v>
      </c>
      <c r="AG342">
        <v>2291.6</v>
      </c>
      <c r="AH342">
        <v>198.6</v>
      </c>
      <c r="AI342">
        <v>331.4</v>
      </c>
      <c r="AJ342">
        <v>844.90000000000009</v>
      </c>
      <c r="AK342">
        <v>171.7</v>
      </c>
      <c r="AL342">
        <v>157.4</v>
      </c>
      <c r="AM342">
        <v>164.6</v>
      </c>
      <c r="AN342">
        <v>169.1</v>
      </c>
    </row>
    <row r="343" spans="1:40" x14ac:dyDescent="0.25">
      <c r="A343" t="s">
        <v>33</v>
      </c>
      <c r="B343">
        <v>2022</v>
      </c>
      <c r="C343" t="s">
        <v>39</v>
      </c>
      <c r="D343" t="s">
        <v>78</v>
      </c>
      <c r="E343">
        <v>156.5</v>
      </c>
      <c r="F343">
        <v>213</v>
      </c>
      <c r="G343">
        <v>175.2</v>
      </c>
      <c r="H343">
        <v>166.6</v>
      </c>
      <c r="I343">
        <v>195.8</v>
      </c>
      <c r="J343">
        <v>174.2</v>
      </c>
      <c r="K343">
        <v>182.1</v>
      </c>
      <c r="L343">
        <v>164.3</v>
      </c>
      <c r="M343">
        <v>120</v>
      </c>
      <c r="N343">
        <v>190</v>
      </c>
      <c r="O343">
        <v>168.4</v>
      </c>
      <c r="P343">
        <v>185.2</v>
      </c>
      <c r="Q343">
        <v>175</v>
      </c>
      <c r="R343">
        <v>194.6</v>
      </c>
      <c r="S343">
        <v>178.3</v>
      </c>
      <c r="T343">
        <v>171.3</v>
      </c>
      <c r="U343">
        <v>177.3</v>
      </c>
      <c r="V343">
        <v>167.8</v>
      </c>
      <c r="W343">
        <v>167.8</v>
      </c>
      <c r="X343">
        <v>179.6</v>
      </c>
      <c r="Y343">
        <v>167.4</v>
      </c>
      <c r="Z343">
        <v>176.1</v>
      </c>
      <c r="AA343">
        <v>161.6</v>
      </c>
      <c r="AB343">
        <v>166.3</v>
      </c>
      <c r="AC343">
        <v>171.4</v>
      </c>
      <c r="AD343">
        <v>169.7</v>
      </c>
      <c r="AE343">
        <v>168.4</v>
      </c>
      <c r="AF343">
        <v>173.4</v>
      </c>
      <c r="AG343">
        <v>2266.3000000000002</v>
      </c>
      <c r="AH343">
        <v>194.6</v>
      </c>
      <c r="AI343">
        <v>349.6</v>
      </c>
      <c r="AJ343">
        <v>852.9</v>
      </c>
      <c r="AK343">
        <v>176.1</v>
      </c>
      <c r="AL343">
        <v>161.6</v>
      </c>
      <c r="AM343">
        <v>166.3</v>
      </c>
      <c r="AN343">
        <v>171.4</v>
      </c>
    </row>
    <row r="344" spans="1:40" x14ac:dyDescent="0.25">
      <c r="A344" t="s">
        <v>30</v>
      </c>
      <c r="B344">
        <v>2022</v>
      </c>
      <c r="C344" t="s">
        <v>40</v>
      </c>
      <c r="D344" t="s">
        <v>76</v>
      </c>
      <c r="E344">
        <v>159.5</v>
      </c>
      <c r="F344">
        <v>204.1</v>
      </c>
      <c r="G344">
        <v>168.3</v>
      </c>
      <c r="H344">
        <v>167.9</v>
      </c>
      <c r="I344">
        <v>198.1</v>
      </c>
      <c r="J344">
        <v>169.2</v>
      </c>
      <c r="K344">
        <v>173.1</v>
      </c>
      <c r="L344">
        <v>167.1</v>
      </c>
      <c r="M344">
        <v>120.2</v>
      </c>
      <c r="N344">
        <v>195.6</v>
      </c>
      <c r="O344">
        <v>174.8</v>
      </c>
      <c r="P344">
        <v>184</v>
      </c>
      <c r="Q344">
        <v>173.9</v>
      </c>
      <c r="R344">
        <v>193.7</v>
      </c>
      <c r="S344">
        <v>183.2</v>
      </c>
      <c r="T344">
        <v>181.7</v>
      </c>
      <c r="U344">
        <v>183</v>
      </c>
      <c r="V344" t="s">
        <v>47</v>
      </c>
      <c r="W344">
        <v>169</v>
      </c>
      <c r="X344">
        <v>179.1</v>
      </c>
      <c r="Y344">
        <v>172.3</v>
      </c>
      <c r="Z344">
        <v>179.4</v>
      </c>
      <c r="AA344">
        <v>166.6</v>
      </c>
      <c r="AB344">
        <v>169.3</v>
      </c>
      <c r="AC344">
        <v>175.7</v>
      </c>
      <c r="AD344">
        <v>171.1</v>
      </c>
      <c r="AE344">
        <v>172.6</v>
      </c>
      <c r="AF344">
        <v>175.3</v>
      </c>
      <c r="AG344">
        <v>2255.7999999999997</v>
      </c>
      <c r="AH344">
        <v>193.7</v>
      </c>
      <c r="AI344">
        <v>364.9</v>
      </c>
      <c r="AJ344">
        <v>864.10000000000014</v>
      </c>
      <c r="AK344">
        <v>179.4</v>
      </c>
      <c r="AL344">
        <v>166.6</v>
      </c>
      <c r="AM344">
        <v>169.3</v>
      </c>
      <c r="AN344">
        <v>175.7</v>
      </c>
    </row>
    <row r="345" spans="1:40" x14ac:dyDescent="0.25">
      <c r="A345" t="s">
        <v>32</v>
      </c>
      <c r="B345">
        <v>2022</v>
      </c>
      <c r="C345" t="s">
        <v>40</v>
      </c>
      <c r="D345" t="s">
        <v>76</v>
      </c>
      <c r="E345">
        <v>162.1</v>
      </c>
      <c r="F345">
        <v>210.9</v>
      </c>
      <c r="G345">
        <v>170.6</v>
      </c>
      <c r="H345">
        <v>168.4</v>
      </c>
      <c r="I345">
        <v>182.5</v>
      </c>
      <c r="J345">
        <v>177.1</v>
      </c>
      <c r="K345">
        <v>213.1</v>
      </c>
      <c r="L345">
        <v>167.3</v>
      </c>
      <c r="M345">
        <v>122.2</v>
      </c>
      <c r="N345">
        <v>189.7</v>
      </c>
      <c r="O345">
        <v>160.5</v>
      </c>
      <c r="P345">
        <v>188.9</v>
      </c>
      <c r="Q345">
        <v>180.4</v>
      </c>
      <c r="R345">
        <v>198.7</v>
      </c>
      <c r="S345">
        <v>173.7</v>
      </c>
      <c r="T345">
        <v>160</v>
      </c>
      <c r="U345">
        <v>171.6</v>
      </c>
      <c r="V345">
        <v>169</v>
      </c>
      <c r="W345">
        <v>169</v>
      </c>
      <c r="X345">
        <v>178.4</v>
      </c>
      <c r="Y345">
        <v>164.2</v>
      </c>
      <c r="Z345">
        <v>172.6</v>
      </c>
      <c r="AA345">
        <v>157.69999999999999</v>
      </c>
      <c r="AB345">
        <v>165.1</v>
      </c>
      <c r="AC345">
        <v>169.9</v>
      </c>
      <c r="AD345">
        <v>171.4</v>
      </c>
      <c r="AE345">
        <v>165.4</v>
      </c>
      <c r="AF345">
        <v>173.1</v>
      </c>
      <c r="AG345">
        <v>2293.6999999999998</v>
      </c>
      <c r="AH345">
        <v>198.7</v>
      </c>
      <c r="AI345">
        <v>333.7</v>
      </c>
      <c r="AJ345">
        <v>848.4</v>
      </c>
      <c r="AK345">
        <v>172.6</v>
      </c>
      <c r="AL345">
        <v>157.69999999999999</v>
      </c>
      <c r="AM345">
        <v>165.1</v>
      </c>
      <c r="AN345">
        <v>169.9</v>
      </c>
    </row>
    <row r="346" spans="1:40" x14ac:dyDescent="0.25">
      <c r="A346" t="s">
        <v>33</v>
      </c>
      <c r="B346">
        <v>2022</v>
      </c>
      <c r="C346" t="s">
        <v>40</v>
      </c>
      <c r="D346" t="s">
        <v>76</v>
      </c>
      <c r="E346">
        <v>160.30000000000001</v>
      </c>
      <c r="F346">
        <v>206.5</v>
      </c>
      <c r="G346">
        <v>169.2</v>
      </c>
      <c r="H346">
        <v>168.1</v>
      </c>
      <c r="I346">
        <v>192.4</v>
      </c>
      <c r="J346">
        <v>172.9</v>
      </c>
      <c r="K346">
        <v>186.7</v>
      </c>
      <c r="L346">
        <v>167.2</v>
      </c>
      <c r="M346">
        <v>120.9</v>
      </c>
      <c r="N346">
        <v>193.6</v>
      </c>
      <c r="O346">
        <v>168.8</v>
      </c>
      <c r="P346">
        <v>186.3</v>
      </c>
      <c r="Q346">
        <v>176.3</v>
      </c>
      <c r="R346">
        <v>195</v>
      </c>
      <c r="S346">
        <v>179.5</v>
      </c>
      <c r="T346">
        <v>172.7</v>
      </c>
      <c r="U346">
        <v>178.5</v>
      </c>
      <c r="V346">
        <v>169</v>
      </c>
      <c r="W346">
        <v>169</v>
      </c>
      <c r="X346">
        <v>178.8</v>
      </c>
      <c r="Y346">
        <v>168.5</v>
      </c>
      <c r="Z346">
        <v>176.8</v>
      </c>
      <c r="AA346">
        <v>161.9</v>
      </c>
      <c r="AB346">
        <v>166.9</v>
      </c>
      <c r="AC346">
        <v>172.3</v>
      </c>
      <c r="AD346">
        <v>171.2</v>
      </c>
      <c r="AE346">
        <v>169.1</v>
      </c>
      <c r="AF346">
        <v>174.3</v>
      </c>
      <c r="AG346">
        <v>2269.2000000000003</v>
      </c>
      <c r="AH346">
        <v>195</v>
      </c>
      <c r="AI346">
        <v>352.2</v>
      </c>
      <c r="AJ346">
        <v>856.6</v>
      </c>
      <c r="AK346">
        <v>176.8</v>
      </c>
      <c r="AL346">
        <v>161.9</v>
      </c>
      <c r="AM346">
        <v>166.9</v>
      </c>
      <c r="AN346">
        <v>172.3</v>
      </c>
    </row>
    <row r="347" spans="1:40" x14ac:dyDescent="0.25">
      <c r="A347" t="s">
        <v>30</v>
      </c>
      <c r="B347">
        <v>2022</v>
      </c>
      <c r="C347" t="s">
        <v>41</v>
      </c>
      <c r="D347" t="s">
        <v>83</v>
      </c>
      <c r="E347">
        <v>162.9</v>
      </c>
      <c r="F347">
        <v>206.7</v>
      </c>
      <c r="G347">
        <v>169</v>
      </c>
      <c r="H347">
        <v>169.5</v>
      </c>
      <c r="I347">
        <v>194.1</v>
      </c>
      <c r="J347">
        <v>164.1</v>
      </c>
      <c r="K347">
        <v>176.9</v>
      </c>
      <c r="L347">
        <v>169</v>
      </c>
      <c r="M347">
        <v>120.8</v>
      </c>
      <c r="N347">
        <v>199.1</v>
      </c>
      <c r="O347">
        <v>175.4</v>
      </c>
      <c r="P347">
        <v>184.8</v>
      </c>
      <c r="Q347">
        <v>175.5</v>
      </c>
      <c r="R347">
        <v>194.5</v>
      </c>
      <c r="S347">
        <v>184.7</v>
      </c>
      <c r="T347">
        <v>183.3</v>
      </c>
      <c r="U347">
        <v>184.5</v>
      </c>
      <c r="V347" t="s">
        <v>47</v>
      </c>
      <c r="W347">
        <v>169.5</v>
      </c>
      <c r="X347">
        <v>179.7</v>
      </c>
      <c r="Y347">
        <v>173.6</v>
      </c>
      <c r="Z347">
        <v>180.2</v>
      </c>
      <c r="AA347">
        <v>166.9</v>
      </c>
      <c r="AB347">
        <v>170</v>
      </c>
      <c r="AC347">
        <v>176.2</v>
      </c>
      <c r="AD347">
        <v>170.8</v>
      </c>
      <c r="AE347">
        <v>173.1</v>
      </c>
      <c r="AF347">
        <v>176.4</v>
      </c>
      <c r="AG347">
        <v>2267.8000000000002</v>
      </c>
      <c r="AH347">
        <v>194.5</v>
      </c>
      <c r="AI347">
        <v>368</v>
      </c>
      <c r="AJ347">
        <v>866.69999999999993</v>
      </c>
      <c r="AK347">
        <v>180.2</v>
      </c>
      <c r="AL347">
        <v>166.9</v>
      </c>
      <c r="AM347">
        <v>170</v>
      </c>
      <c r="AN347">
        <v>176.2</v>
      </c>
    </row>
    <row r="348" spans="1:40" x14ac:dyDescent="0.25">
      <c r="A348" t="s">
        <v>32</v>
      </c>
      <c r="B348">
        <v>2022</v>
      </c>
      <c r="C348" t="s">
        <v>41</v>
      </c>
      <c r="D348" t="s">
        <v>83</v>
      </c>
      <c r="E348">
        <v>164.9</v>
      </c>
      <c r="F348">
        <v>213.7</v>
      </c>
      <c r="G348">
        <v>170.9</v>
      </c>
      <c r="H348">
        <v>170.1</v>
      </c>
      <c r="I348">
        <v>179.3</v>
      </c>
      <c r="J348">
        <v>167.5</v>
      </c>
      <c r="K348">
        <v>220.8</v>
      </c>
      <c r="L348">
        <v>169.2</v>
      </c>
      <c r="M348">
        <v>123.1</v>
      </c>
      <c r="N348">
        <v>193.6</v>
      </c>
      <c r="O348">
        <v>161.1</v>
      </c>
      <c r="P348">
        <v>190.4</v>
      </c>
      <c r="Q348">
        <v>181.8</v>
      </c>
      <c r="R348">
        <v>199.7</v>
      </c>
      <c r="S348">
        <v>175</v>
      </c>
      <c r="T348">
        <v>161.69999999999999</v>
      </c>
      <c r="U348">
        <v>173</v>
      </c>
      <c r="V348">
        <v>169.5</v>
      </c>
      <c r="W348">
        <v>169.5</v>
      </c>
      <c r="X348">
        <v>179.2</v>
      </c>
      <c r="Y348">
        <v>165</v>
      </c>
      <c r="Z348">
        <v>173.8</v>
      </c>
      <c r="AA348">
        <v>158.19999999999999</v>
      </c>
      <c r="AB348">
        <v>165.8</v>
      </c>
      <c r="AC348">
        <v>170.9</v>
      </c>
      <c r="AD348">
        <v>171.1</v>
      </c>
      <c r="AE348">
        <v>166.1</v>
      </c>
      <c r="AF348">
        <v>174.1</v>
      </c>
      <c r="AG348">
        <v>2306.4</v>
      </c>
      <c r="AH348">
        <v>199.7</v>
      </c>
      <c r="AI348">
        <v>336.7</v>
      </c>
      <c r="AJ348">
        <v>850.90000000000009</v>
      </c>
      <c r="AK348">
        <v>173.8</v>
      </c>
      <c r="AL348">
        <v>158.19999999999999</v>
      </c>
      <c r="AM348">
        <v>165.8</v>
      </c>
      <c r="AN348">
        <v>170.9</v>
      </c>
    </row>
    <row r="349" spans="1:40" x14ac:dyDescent="0.25">
      <c r="A349" t="s">
        <v>33</v>
      </c>
      <c r="B349">
        <v>2022</v>
      </c>
      <c r="C349" t="s">
        <v>41</v>
      </c>
      <c r="D349" t="s">
        <v>83</v>
      </c>
      <c r="E349">
        <v>163.5</v>
      </c>
      <c r="F349">
        <v>209.2</v>
      </c>
      <c r="G349">
        <v>169.7</v>
      </c>
      <c r="H349">
        <v>169.7</v>
      </c>
      <c r="I349">
        <v>188.7</v>
      </c>
      <c r="J349">
        <v>165.7</v>
      </c>
      <c r="K349">
        <v>191.8</v>
      </c>
      <c r="L349">
        <v>169.1</v>
      </c>
      <c r="M349">
        <v>121.6</v>
      </c>
      <c r="N349">
        <v>197.3</v>
      </c>
      <c r="O349">
        <v>169.4</v>
      </c>
      <c r="P349">
        <v>187.4</v>
      </c>
      <c r="Q349">
        <v>177.8</v>
      </c>
      <c r="R349">
        <v>195.9</v>
      </c>
      <c r="S349">
        <v>180.9</v>
      </c>
      <c r="T349">
        <v>174.3</v>
      </c>
      <c r="U349">
        <v>179.9</v>
      </c>
      <c r="V349">
        <v>169.5</v>
      </c>
      <c r="W349">
        <v>169.5</v>
      </c>
      <c r="X349">
        <v>179.5</v>
      </c>
      <c r="Y349">
        <v>169.5</v>
      </c>
      <c r="Z349">
        <v>177.8</v>
      </c>
      <c r="AA349">
        <v>162.30000000000001</v>
      </c>
      <c r="AB349">
        <v>167.6</v>
      </c>
      <c r="AC349">
        <v>173.1</v>
      </c>
      <c r="AD349">
        <v>170.9</v>
      </c>
      <c r="AE349">
        <v>169.7</v>
      </c>
      <c r="AF349">
        <v>175.3</v>
      </c>
      <c r="AG349">
        <v>2280.9</v>
      </c>
      <c r="AH349">
        <v>195.9</v>
      </c>
      <c r="AI349">
        <v>355.20000000000005</v>
      </c>
      <c r="AJ349">
        <v>859.09999999999991</v>
      </c>
      <c r="AK349">
        <v>177.8</v>
      </c>
      <c r="AL349">
        <v>162.30000000000001</v>
      </c>
      <c r="AM349">
        <v>167.6</v>
      </c>
      <c r="AN349">
        <v>173.1</v>
      </c>
    </row>
    <row r="350" spans="1:40" x14ac:dyDescent="0.25">
      <c r="A350" t="s">
        <v>30</v>
      </c>
      <c r="B350">
        <v>2022</v>
      </c>
      <c r="C350" t="s">
        <v>42</v>
      </c>
      <c r="D350" t="s">
        <v>82</v>
      </c>
      <c r="E350">
        <v>164.7</v>
      </c>
      <c r="F350">
        <v>208.8</v>
      </c>
      <c r="G350">
        <v>170.3</v>
      </c>
      <c r="H350">
        <v>170.9</v>
      </c>
      <c r="I350">
        <v>191.6</v>
      </c>
      <c r="J350">
        <v>162.19999999999999</v>
      </c>
      <c r="K350">
        <v>184.8</v>
      </c>
      <c r="L350">
        <v>169.7</v>
      </c>
      <c r="M350">
        <v>121.1</v>
      </c>
      <c r="N350">
        <v>201.6</v>
      </c>
      <c r="O350">
        <v>175.8</v>
      </c>
      <c r="P350">
        <v>185.6</v>
      </c>
      <c r="Q350">
        <v>177.4</v>
      </c>
      <c r="R350">
        <v>194.9</v>
      </c>
      <c r="S350">
        <v>186.1</v>
      </c>
      <c r="T350">
        <v>184.4</v>
      </c>
      <c r="U350">
        <v>185.9</v>
      </c>
      <c r="V350" t="s">
        <v>47</v>
      </c>
      <c r="W350">
        <v>171.2</v>
      </c>
      <c r="X350">
        <v>180.8</v>
      </c>
      <c r="Y350">
        <v>174.4</v>
      </c>
      <c r="Z350">
        <v>181.2</v>
      </c>
      <c r="AA350">
        <v>167.4</v>
      </c>
      <c r="AB350">
        <v>170.6</v>
      </c>
      <c r="AC350">
        <v>176.5</v>
      </c>
      <c r="AD350">
        <v>172</v>
      </c>
      <c r="AE350">
        <v>173.9</v>
      </c>
      <c r="AF350">
        <v>177.9</v>
      </c>
      <c r="AG350">
        <v>2284.5</v>
      </c>
      <c r="AH350">
        <v>194.9</v>
      </c>
      <c r="AI350">
        <v>370.5</v>
      </c>
      <c r="AJ350">
        <v>872.3</v>
      </c>
      <c r="AK350">
        <v>181.2</v>
      </c>
      <c r="AL350">
        <v>167.4</v>
      </c>
      <c r="AM350">
        <v>170.6</v>
      </c>
      <c r="AN350">
        <v>176.5</v>
      </c>
    </row>
    <row r="351" spans="1:40" x14ac:dyDescent="0.25">
      <c r="A351" t="s">
        <v>32</v>
      </c>
      <c r="B351">
        <v>2022</v>
      </c>
      <c r="C351" t="s">
        <v>42</v>
      </c>
      <c r="D351" t="s">
        <v>82</v>
      </c>
      <c r="E351">
        <v>166.4</v>
      </c>
      <c r="F351">
        <v>214.9</v>
      </c>
      <c r="G351">
        <v>171.9</v>
      </c>
      <c r="H351">
        <v>171</v>
      </c>
      <c r="I351">
        <v>177.7</v>
      </c>
      <c r="J351">
        <v>165.7</v>
      </c>
      <c r="K351">
        <v>228.6</v>
      </c>
      <c r="L351">
        <v>169.9</v>
      </c>
      <c r="M351">
        <v>123.4</v>
      </c>
      <c r="N351">
        <v>196.4</v>
      </c>
      <c r="O351">
        <v>161.6</v>
      </c>
      <c r="P351">
        <v>191.5</v>
      </c>
      <c r="Q351">
        <v>183.3</v>
      </c>
      <c r="R351">
        <v>200.1</v>
      </c>
      <c r="S351">
        <v>175.5</v>
      </c>
      <c r="T351">
        <v>162.6</v>
      </c>
      <c r="U351">
        <v>173.6</v>
      </c>
      <c r="V351">
        <v>171.2</v>
      </c>
      <c r="W351">
        <v>171.2</v>
      </c>
      <c r="X351">
        <v>180</v>
      </c>
      <c r="Y351">
        <v>166</v>
      </c>
      <c r="Z351">
        <v>174.7</v>
      </c>
      <c r="AA351">
        <v>158.80000000000001</v>
      </c>
      <c r="AB351">
        <v>166.3</v>
      </c>
      <c r="AC351">
        <v>171.2</v>
      </c>
      <c r="AD351">
        <v>172.3</v>
      </c>
      <c r="AE351">
        <v>166.8</v>
      </c>
      <c r="AF351">
        <v>175.3</v>
      </c>
      <c r="AG351">
        <v>2322.3000000000002</v>
      </c>
      <c r="AH351">
        <v>200.1</v>
      </c>
      <c r="AI351">
        <v>338.1</v>
      </c>
      <c r="AJ351">
        <v>856.3</v>
      </c>
      <c r="AK351">
        <v>174.7</v>
      </c>
      <c r="AL351">
        <v>158.80000000000001</v>
      </c>
      <c r="AM351">
        <v>166.3</v>
      </c>
      <c r="AN351">
        <v>171.2</v>
      </c>
    </row>
    <row r="352" spans="1:40" x14ac:dyDescent="0.25">
      <c r="A352" t="s">
        <v>33</v>
      </c>
      <c r="B352">
        <v>2022</v>
      </c>
      <c r="C352" t="s">
        <v>42</v>
      </c>
      <c r="D352" t="s">
        <v>82</v>
      </c>
      <c r="E352">
        <v>165.2</v>
      </c>
      <c r="F352">
        <v>210.9</v>
      </c>
      <c r="G352">
        <v>170.9</v>
      </c>
      <c r="H352">
        <v>170.9</v>
      </c>
      <c r="I352">
        <v>186.5</v>
      </c>
      <c r="J352">
        <v>163.80000000000001</v>
      </c>
      <c r="K352">
        <v>199.7</v>
      </c>
      <c r="L352">
        <v>169.8</v>
      </c>
      <c r="M352">
        <v>121.9</v>
      </c>
      <c r="N352">
        <v>199.9</v>
      </c>
      <c r="O352">
        <v>169.9</v>
      </c>
      <c r="P352">
        <v>188.3</v>
      </c>
      <c r="Q352">
        <v>179.6</v>
      </c>
      <c r="R352">
        <v>196.3</v>
      </c>
      <c r="S352">
        <v>181.9</v>
      </c>
      <c r="T352">
        <v>175.3</v>
      </c>
      <c r="U352">
        <v>181</v>
      </c>
      <c r="V352">
        <v>171.2</v>
      </c>
      <c r="W352">
        <v>171.2</v>
      </c>
      <c r="X352">
        <v>180.5</v>
      </c>
      <c r="Y352">
        <v>170.4</v>
      </c>
      <c r="Z352">
        <v>178.7</v>
      </c>
      <c r="AA352">
        <v>162.9</v>
      </c>
      <c r="AB352">
        <v>168.2</v>
      </c>
      <c r="AC352">
        <v>173.4</v>
      </c>
      <c r="AD352">
        <v>172.1</v>
      </c>
      <c r="AE352">
        <v>170.5</v>
      </c>
      <c r="AF352">
        <v>176.7</v>
      </c>
      <c r="AG352">
        <v>2297.3000000000002</v>
      </c>
      <c r="AH352">
        <v>196.3</v>
      </c>
      <c r="AI352">
        <v>357.20000000000005</v>
      </c>
      <c r="AJ352">
        <v>864.7</v>
      </c>
      <c r="AK352">
        <v>178.7</v>
      </c>
      <c r="AL352">
        <v>162.9</v>
      </c>
      <c r="AM352">
        <v>168.2</v>
      </c>
      <c r="AN352">
        <v>173.4</v>
      </c>
    </row>
    <row r="353" spans="1:40" x14ac:dyDescent="0.25">
      <c r="A353" t="s">
        <v>30</v>
      </c>
      <c r="B353">
        <v>2022</v>
      </c>
      <c r="C353" t="s">
        <v>44</v>
      </c>
      <c r="D353" t="s">
        <v>81</v>
      </c>
      <c r="E353">
        <v>166.9</v>
      </c>
      <c r="F353">
        <v>207.2</v>
      </c>
      <c r="G353">
        <v>180.2</v>
      </c>
      <c r="H353">
        <v>172.3</v>
      </c>
      <c r="I353">
        <v>194</v>
      </c>
      <c r="J353">
        <v>159.1</v>
      </c>
      <c r="K353">
        <v>171.6</v>
      </c>
      <c r="L353">
        <v>170.2</v>
      </c>
      <c r="M353">
        <v>121.5</v>
      </c>
      <c r="N353">
        <v>204.8</v>
      </c>
      <c r="O353">
        <v>176.4</v>
      </c>
      <c r="P353">
        <v>186.9</v>
      </c>
      <c r="Q353">
        <v>176.6</v>
      </c>
      <c r="R353">
        <v>195.5</v>
      </c>
      <c r="S353">
        <v>187.2</v>
      </c>
      <c r="T353">
        <v>185.2</v>
      </c>
      <c r="U353">
        <v>186.9</v>
      </c>
      <c r="V353" t="s">
        <v>47</v>
      </c>
      <c r="W353">
        <v>171.8</v>
      </c>
      <c r="X353">
        <v>181.9</v>
      </c>
      <c r="Y353">
        <v>175.5</v>
      </c>
      <c r="Z353">
        <v>182.3</v>
      </c>
      <c r="AA353">
        <v>167.5</v>
      </c>
      <c r="AB353">
        <v>170.8</v>
      </c>
      <c r="AC353">
        <v>176.9</v>
      </c>
      <c r="AD353">
        <v>173.4</v>
      </c>
      <c r="AE353">
        <v>174.6</v>
      </c>
      <c r="AF353">
        <v>177.8</v>
      </c>
      <c r="AG353">
        <v>2287.6999999999998</v>
      </c>
      <c r="AH353">
        <v>195.5</v>
      </c>
      <c r="AI353">
        <v>372.4</v>
      </c>
      <c r="AJ353">
        <v>877.2</v>
      </c>
      <c r="AK353">
        <v>182.3</v>
      </c>
      <c r="AL353">
        <v>167.5</v>
      </c>
      <c r="AM353">
        <v>170.8</v>
      </c>
      <c r="AN353">
        <v>176.9</v>
      </c>
    </row>
    <row r="354" spans="1:40" x14ac:dyDescent="0.25">
      <c r="A354" t="s">
        <v>32</v>
      </c>
      <c r="B354">
        <v>2022</v>
      </c>
      <c r="C354" t="s">
        <v>44</v>
      </c>
      <c r="D354" t="s">
        <v>81</v>
      </c>
      <c r="E354">
        <v>168.4</v>
      </c>
      <c r="F354">
        <v>213.4</v>
      </c>
      <c r="G354">
        <v>183.2</v>
      </c>
      <c r="H354">
        <v>172.3</v>
      </c>
      <c r="I354">
        <v>180</v>
      </c>
      <c r="J354">
        <v>162.6</v>
      </c>
      <c r="K354">
        <v>205.5</v>
      </c>
      <c r="L354">
        <v>171</v>
      </c>
      <c r="M354">
        <v>123.4</v>
      </c>
      <c r="N354">
        <v>198.8</v>
      </c>
      <c r="O354">
        <v>162.1</v>
      </c>
      <c r="P354">
        <v>192.4</v>
      </c>
      <c r="Q354">
        <v>181.3</v>
      </c>
      <c r="R354">
        <v>200.6</v>
      </c>
      <c r="S354">
        <v>176.7</v>
      </c>
      <c r="T354">
        <v>163.5</v>
      </c>
      <c r="U354">
        <v>174.7</v>
      </c>
      <c r="V354">
        <v>171.8</v>
      </c>
      <c r="W354">
        <v>171.8</v>
      </c>
      <c r="X354">
        <v>180.3</v>
      </c>
      <c r="Y354">
        <v>166.9</v>
      </c>
      <c r="Z354">
        <v>175.8</v>
      </c>
      <c r="AA354">
        <v>158.9</v>
      </c>
      <c r="AB354">
        <v>166.7</v>
      </c>
      <c r="AC354">
        <v>171.5</v>
      </c>
      <c r="AD354">
        <v>173.8</v>
      </c>
      <c r="AE354">
        <v>167.4</v>
      </c>
      <c r="AF354">
        <v>174.1</v>
      </c>
      <c r="AG354">
        <v>2314.4</v>
      </c>
      <c r="AH354">
        <v>200.6</v>
      </c>
      <c r="AI354">
        <v>340.2</v>
      </c>
      <c r="AJ354">
        <v>860.19999999999993</v>
      </c>
      <c r="AK354">
        <v>175.8</v>
      </c>
      <c r="AL354">
        <v>158.9</v>
      </c>
      <c r="AM354">
        <v>166.7</v>
      </c>
      <c r="AN354">
        <v>171.5</v>
      </c>
    </row>
    <row r="355" spans="1:40" x14ac:dyDescent="0.25">
      <c r="A355" t="s">
        <v>33</v>
      </c>
      <c r="B355">
        <v>2022</v>
      </c>
      <c r="C355" t="s">
        <v>44</v>
      </c>
      <c r="D355" t="s">
        <v>81</v>
      </c>
      <c r="E355">
        <v>167.4</v>
      </c>
      <c r="F355">
        <v>209.4</v>
      </c>
      <c r="G355">
        <v>181.4</v>
      </c>
      <c r="H355">
        <v>172.3</v>
      </c>
      <c r="I355">
        <v>188.9</v>
      </c>
      <c r="J355">
        <v>160.69999999999999</v>
      </c>
      <c r="K355">
        <v>183.1</v>
      </c>
      <c r="L355">
        <v>170.5</v>
      </c>
      <c r="M355">
        <v>122.1</v>
      </c>
      <c r="N355">
        <v>202.8</v>
      </c>
      <c r="O355">
        <v>170.4</v>
      </c>
      <c r="P355">
        <v>189.5</v>
      </c>
      <c r="Q355">
        <v>178.3</v>
      </c>
      <c r="R355">
        <v>196.9</v>
      </c>
      <c r="S355">
        <v>183.1</v>
      </c>
      <c r="T355">
        <v>176.2</v>
      </c>
      <c r="U355">
        <v>182.1</v>
      </c>
      <c r="V355">
        <v>171.8</v>
      </c>
      <c r="W355">
        <v>171.8</v>
      </c>
      <c r="X355">
        <v>181.3</v>
      </c>
      <c r="Y355">
        <v>171.4</v>
      </c>
      <c r="Z355">
        <v>179.8</v>
      </c>
      <c r="AA355">
        <v>163</v>
      </c>
      <c r="AB355">
        <v>168.5</v>
      </c>
      <c r="AC355">
        <v>173.7</v>
      </c>
      <c r="AD355">
        <v>173.6</v>
      </c>
      <c r="AE355">
        <v>171.1</v>
      </c>
      <c r="AF355">
        <v>176.5</v>
      </c>
      <c r="AG355">
        <v>2296.8000000000002</v>
      </c>
      <c r="AH355">
        <v>196.9</v>
      </c>
      <c r="AI355">
        <v>359.29999999999995</v>
      </c>
      <c r="AJ355">
        <v>869.2</v>
      </c>
      <c r="AK355">
        <v>179.8</v>
      </c>
      <c r="AL355">
        <v>163</v>
      </c>
      <c r="AM355">
        <v>168.5</v>
      </c>
      <c r="AN355">
        <v>173.7</v>
      </c>
    </row>
    <row r="356" spans="1:40" x14ac:dyDescent="0.25">
      <c r="A356" t="s">
        <v>30</v>
      </c>
      <c r="B356">
        <v>2022</v>
      </c>
      <c r="C356" t="s">
        <v>45</v>
      </c>
      <c r="D356" t="s">
        <v>77</v>
      </c>
      <c r="E356">
        <v>168.8</v>
      </c>
      <c r="F356">
        <v>206.9</v>
      </c>
      <c r="G356">
        <v>189.1</v>
      </c>
      <c r="H356">
        <v>173.4</v>
      </c>
      <c r="I356">
        <v>193.9</v>
      </c>
      <c r="J356">
        <v>156.69999999999999</v>
      </c>
      <c r="K356">
        <v>150.19999999999999</v>
      </c>
      <c r="L356">
        <v>170.5</v>
      </c>
      <c r="M356">
        <v>121.2</v>
      </c>
      <c r="N356">
        <v>207.5</v>
      </c>
      <c r="O356">
        <v>176.8</v>
      </c>
      <c r="P356">
        <v>187.7</v>
      </c>
      <c r="Q356">
        <v>174.4</v>
      </c>
      <c r="R356">
        <v>195.9</v>
      </c>
      <c r="S356">
        <v>188.1</v>
      </c>
      <c r="T356">
        <v>185.9</v>
      </c>
      <c r="U356">
        <v>187.8</v>
      </c>
      <c r="V356" t="s">
        <v>47</v>
      </c>
      <c r="W356">
        <v>170.7</v>
      </c>
      <c r="X356">
        <v>182.8</v>
      </c>
      <c r="Y356">
        <v>176.4</v>
      </c>
      <c r="Z356">
        <v>183.5</v>
      </c>
      <c r="AA356">
        <v>167.8</v>
      </c>
      <c r="AB356">
        <v>171.2</v>
      </c>
      <c r="AC356">
        <v>177.3</v>
      </c>
      <c r="AD356">
        <v>175.7</v>
      </c>
      <c r="AE356">
        <v>175.5</v>
      </c>
      <c r="AF356">
        <v>177.1</v>
      </c>
      <c r="AG356">
        <v>2277.1</v>
      </c>
      <c r="AH356">
        <v>195.9</v>
      </c>
      <c r="AI356">
        <v>374</v>
      </c>
      <c r="AJ356">
        <v>881.09999999999991</v>
      </c>
      <c r="AK356">
        <v>183.5</v>
      </c>
      <c r="AL356">
        <v>167.8</v>
      </c>
      <c r="AM356">
        <v>171.2</v>
      </c>
      <c r="AN356">
        <v>177.3</v>
      </c>
    </row>
    <row r="357" spans="1:40" x14ac:dyDescent="0.25">
      <c r="A357" t="s">
        <v>32</v>
      </c>
      <c r="B357">
        <v>2022</v>
      </c>
      <c r="C357" t="s">
        <v>45</v>
      </c>
      <c r="D357" t="s">
        <v>77</v>
      </c>
      <c r="E357">
        <v>170.2</v>
      </c>
      <c r="F357">
        <v>212.9</v>
      </c>
      <c r="G357">
        <v>191.9</v>
      </c>
      <c r="H357">
        <v>173.9</v>
      </c>
      <c r="I357">
        <v>179.1</v>
      </c>
      <c r="J357">
        <v>159.5</v>
      </c>
      <c r="K357">
        <v>178.7</v>
      </c>
      <c r="L357">
        <v>171.3</v>
      </c>
      <c r="M357">
        <v>123.1</v>
      </c>
      <c r="N357">
        <v>200.5</v>
      </c>
      <c r="O357">
        <v>162.80000000000001</v>
      </c>
      <c r="P357">
        <v>193.3</v>
      </c>
      <c r="Q357">
        <v>178.6</v>
      </c>
      <c r="R357">
        <v>201.1</v>
      </c>
      <c r="S357">
        <v>177.7</v>
      </c>
      <c r="T357">
        <v>164.5</v>
      </c>
      <c r="U357">
        <v>175.7</v>
      </c>
      <c r="V357">
        <v>170.7</v>
      </c>
      <c r="W357">
        <v>170.7</v>
      </c>
      <c r="X357">
        <v>180.6</v>
      </c>
      <c r="Y357">
        <v>167.3</v>
      </c>
      <c r="Z357">
        <v>177.2</v>
      </c>
      <c r="AA357">
        <v>159.4</v>
      </c>
      <c r="AB357">
        <v>167.1</v>
      </c>
      <c r="AC357">
        <v>171.8</v>
      </c>
      <c r="AD357">
        <v>176</v>
      </c>
      <c r="AE357">
        <v>168.2</v>
      </c>
      <c r="AF357">
        <v>174.1</v>
      </c>
      <c r="AG357">
        <v>2295.7999999999997</v>
      </c>
      <c r="AH357">
        <v>201.1</v>
      </c>
      <c r="AI357">
        <v>342.2</v>
      </c>
      <c r="AJ357">
        <v>862.8</v>
      </c>
      <c r="AK357">
        <v>177.2</v>
      </c>
      <c r="AL357">
        <v>159.4</v>
      </c>
      <c r="AM357">
        <v>167.1</v>
      </c>
      <c r="AN357">
        <v>171.8</v>
      </c>
    </row>
    <row r="358" spans="1:40" x14ac:dyDescent="0.25">
      <c r="A358" t="s">
        <v>33</v>
      </c>
      <c r="B358">
        <v>2022</v>
      </c>
      <c r="C358" t="s">
        <v>45</v>
      </c>
      <c r="D358" t="s">
        <v>77</v>
      </c>
      <c r="E358">
        <v>169.2</v>
      </c>
      <c r="F358">
        <v>209</v>
      </c>
      <c r="G358">
        <v>190.2</v>
      </c>
      <c r="H358">
        <v>173.6</v>
      </c>
      <c r="I358">
        <v>188.5</v>
      </c>
      <c r="J358">
        <v>158</v>
      </c>
      <c r="K358">
        <v>159.9</v>
      </c>
      <c r="L358">
        <v>170.8</v>
      </c>
      <c r="M358">
        <v>121.8</v>
      </c>
      <c r="N358">
        <v>205.2</v>
      </c>
      <c r="O358">
        <v>171</v>
      </c>
      <c r="P358">
        <v>190.3</v>
      </c>
      <c r="Q358">
        <v>175.9</v>
      </c>
      <c r="R358">
        <v>197.3</v>
      </c>
      <c r="S358">
        <v>184</v>
      </c>
      <c r="T358">
        <v>177</v>
      </c>
      <c r="U358">
        <v>183</v>
      </c>
      <c r="V358">
        <v>170.7</v>
      </c>
      <c r="W358">
        <v>170.7</v>
      </c>
      <c r="X358">
        <v>182</v>
      </c>
      <c r="Y358">
        <v>172.1</v>
      </c>
      <c r="Z358">
        <v>181.1</v>
      </c>
      <c r="AA358">
        <v>163.4</v>
      </c>
      <c r="AB358">
        <v>168.9</v>
      </c>
      <c r="AC358">
        <v>174.1</v>
      </c>
      <c r="AD358">
        <v>175.8</v>
      </c>
      <c r="AE358">
        <v>172</v>
      </c>
      <c r="AF358">
        <v>175.7</v>
      </c>
      <c r="AG358">
        <v>2283.4</v>
      </c>
      <c r="AH358">
        <v>197.3</v>
      </c>
      <c r="AI358">
        <v>361</v>
      </c>
      <c r="AJ358">
        <v>872.59999999999991</v>
      </c>
      <c r="AK358">
        <v>181.1</v>
      </c>
      <c r="AL358">
        <v>163.4</v>
      </c>
      <c r="AM358">
        <v>168.9</v>
      </c>
      <c r="AN358">
        <v>174.1</v>
      </c>
    </row>
    <row r="359" spans="1:40" x14ac:dyDescent="0.25">
      <c r="A359" t="s">
        <v>30</v>
      </c>
      <c r="B359">
        <v>2023</v>
      </c>
      <c r="C359" t="s">
        <v>31</v>
      </c>
      <c r="D359" t="s">
        <v>86</v>
      </c>
      <c r="E359">
        <v>174</v>
      </c>
      <c r="F359">
        <v>208.3</v>
      </c>
      <c r="G359">
        <v>192.9</v>
      </c>
      <c r="H359">
        <v>174.3</v>
      </c>
      <c r="I359">
        <v>192.6</v>
      </c>
      <c r="J359">
        <v>156.30000000000001</v>
      </c>
      <c r="K359">
        <v>142.9</v>
      </c>
      <c r="L359">
        <v>170.7</v>
      </c>
      <c r="M359">
        <v>120.3</v>
      </c>
      <c r="N359">
        <v>210.5</v>
      </c>
      <c r="O359">
        <v>176.9</v>
      </c>
      <c r="P359">
        <v>188.5</v>
      </c>
      <c r="Q359">
        <v>175</v>
      </c>
      <c r="R359">
        <v>196.9</v>
      </c>
      <c r="S359">
        <v>189</v>
      </c>
      <c r="T359">
        <v>186.3</v>
      </c>
      <c r="U359">
        <v>188.6</v>
      </c>
      <c r="V359" t="s">
        <v>47</v>
      </c>
      <c r="W359">
        <v>172.1</v>
      </c>
      <c r="X359">
        <v>183.2</v>
      </c>
      <c r="Y359">
        <v>177.2</v>
      </c>
      <c r="Z359">
        <v>184.7</v>
      </c>
      <c r="AA359">
        <v>168.2</v>
      </c>
      <c r="AB359">
        <v>171.8</v>
      </c>
      <c r="AC359">
        <v>177.8</v>
      </c>
      <c r="AD359">
        <v>178.4</v>
      </c>
      <c r="AE359">
        <v>176.5</v>
      </c>
      <c r="AF359">
        <v>177.8</v>
      </c>
      <c r="AG359">
        <v>2283.2000000000003</v>
      </c>
      <c r="AH359">
        <v>196.9</v>
      </c>
      <c r="AI359">
        <v>375.3</v>
      </c>
      <c r="AJ359">
        <v>887.4</v>
      </c>
      <c r="AK359">
        <v>184.7</v>
      </c>
      <c r="AL359">
        <v>168.2</v>
      </c>
      <c r="AM359">
        <v>171.8</v>
      </c>
      <c r="AN359">
        <v>177.8</v>
      </c>
    </row>
    <row r="360" spans="1:40" x14ac:dyDescent="0.25">
      <c r="A360" t="s">
        <v>32</v>
      </c>
      <c r="B360">
        <v>2023</v>
      </c>
      <c r="C360" t="s">
        <v>31</v>
      </c>
      <c r="D360" t="s">
        <v>86</v>
      </c>
      <c r="E360">
        <v>173.3</v>
      </c>
      <c r="F360">
        <v>215.2</v>
      </c>
      <c r="G360">
        <v>197</v>
      </c>
      <c r="H360">
        <v>175.2</v>
      </c>
      <c r="I360">
        <v>178</v>
      </c>
      <c r="J360">
        <v>160.5</v>
      </c>
      <c r="K360">
        <v>175.3</v>
      </c>
      <c r="L360">
        <v>171.2</v>
      </c>
      <c r="M360">
        <v>122.7</v>
      </c>
      <c r="N360">
        <v>204.3</v>
      </c>
      <c r="O360">
        <v>163.69999999999999</v>
      </c>
      <c r="P360">
        <v>194.3</v>
      </c>
      <c r="Q360">
        <v>179.5</v>
      </c>
      <c r="R360">
        <v>201.6</v>
      </c>
      <c r="S360">
        <v>178.7</v>
      </c>
      <c r="T360">
        <v>165.3</v>
      </c>
      <c r="U360">
        <v>176.6</v>
      </c>
      <c r="V360">
        <v>172.1</v>
      </c>
      <c r="W360">
        <v>172.1</v>
      </c>
      <c r="X360">
        <v>180.1</v>
      </c>
      <c r="Y360">
        <v>168</v>
      </c>
      <c r="Z360">
        <v>178.5</v>
      </c>
      <c r="AA360">
        <v>159.5</v>
      </c>
      <c r="AB360">
        <v>167.8</v>
      </c>
      <c r="AC360">
        <v>171.8</v>
      </c>
      <c r="AD360">
        <v>178.8</v>
      </c>
      <c r="AE360">
        <v>168.9</v>
      </c>
      <c r="AF360">
        <v>174.9</v>
      </c>
      <c r="AG360">
        <v>2310.2000000000003</v>
      </c>
      <c r="AH360">
        <v>201.6</v>
      </c>
      <c r="AI360">
        <v>344</v>
      </c>
      <c r="AJ360">
        <v>867.9</v>
      </c>
      <c r="AK360">
        <v>178.5</v>
      </c>
      <c r="AL360">
        <v>159.5</v>
      </c>
      <c r="AM360">
        <v>167.8</v>
      </c>
      <c r="AN360">
        <v>171.8</v>
      </c>
    </row>
    <row r="361" spans="1:40" x14ac:dyDescent="0.25">
      <c r="A361" t="s">
        <v>33</v>
      </c>
      <c r="B361">
        <v>2023</v>
      </c>
      <c r="C361" t="s">
        <v>31</v>
      </c>
      <c r="D361" t="s">
        <v>86</v>
      </c>
      <c r="E361">
        <v>173.8</v>
      </c>
      <c r="F361">
        <v>210.7</v>
      </c>
      <c r="G361">
        <v>194.5</v>
      </c>
      <c r="H361">
        <v>174.6</v>
      </c>
      <c r="I361">
        <v>187.2</v>
      </c>
      <c r="J361">
        <v>158.30000000000001</v>
      </c>
      <c r="K361">
        <v>153.9</v>
      </c>
      <c r="L361">
        <v>170.9</v>
      </c>
      <c r="M361">
        <v>121.1</v>
      </c>
      <c r="N361">
        <v>208.4</v>
      </c>
      <c r="O361">
        <v>171.4</v>
      </c>
      <c r="P361">
        <v>191.2</v>
      </c>
      <c r="Q361">
        <v>176.7</v>
      </c>
      <c r="R361">
        <v>198.2</v>
      </c>
      <c r="S361">
        <v>184.9</v>
      </c>
      <c r="T361">
        <v>177.6</v>
      </c>
      <c r="U361">
        <v>183.8</v>
      </c>
      <c r="V361">
        <v>172.1</v>
      </c>
      <c r="W361">
        <v>172.1</v>
      </c>
      <c r="X361">
        <v>182</v>
      </c>
      <c r="Y361">
        <v>172.9</v>
      </c>
      <c r="Z361">
        <v>182.3</v>
      </c>
      <c r="AA361">
        <v>163.6</v>
      </c>
      <c r="AB361">
        <v>169.5</v>
      </c>
      <c r="AC361">
        <v>174.3</v>
      </c>
      <c r="AD361">
        <v>178.6</v>
      </c>
      <c r="AE361">
        <v>172.8</v>
      </c>
      <c r="AF361">
        <v>176.5</v>
      </c>
      <c r="AG361">
        <v>2292.6999999999998</v>
      </c>
      <c r="AH361">
        <v>198.2</v>
      </c>
      <c r="AI361">
        <v>362.5</v>
      </c>
      <c r="AJ361">
        <v>878.40000000000009</v>
      </c>
      <c r="AK361">
        <v>182.3</v>
      </c>
      <c r="AL361">
        <v>163.6</v>
      </c>
      <c r="AM361">
        <v>169.5</v>
      </c>
      <c r="AN361">
        <v>174.3</v>
      </c>
    </row>
    <row r="362" spans="1:40" x14ac:dyDescent="0.25">
      <c r="A362" t="s">
        <v>30</v>
      </c>
      <c r="B362">
        <v>2023</v>
      </c>
      <c r="C362" t="s">
        <v>34</v>
      </c>
      <c r="D362" t="s">
        <v>85</v>
      </c>
      <c r="E362">
        <v>174.2</v>
      </c>
      <c r="F362">
        <v>205.2</v>
      </c>
      <c r="G362">
        <v>173.9</v>
      </c>
      <c r="H362">
        <v>177</v>
      </c>
      <c r="I362">
        <v>183.4</v>
      </c>
      <c r="J362">
        <v>167.2</v>
      </c>
      <c r="K362">
        <v>140.9</v>
      </c>
      <c r="L362">
        <v>170.4</v>
      </c>
      <c r="M362">
        <v>119.1</v>
      </c>
      <c r="N362">
        <v>212.1</v>
      </c>
      <c r="O362">
        <v>177.6</v>
      </c>
      <c r="P362">
        <v>189.9</v>
      </c>
      <c r="Q362">
        <v>174.8</v>
      </c>
      <c r="R362">
        <v>198.3</v>
      </c>
      <c r="S362">
        <v>190</v>
      </c>
      <c r="T362">
        <v>187</v>
      </c>
      <c r="U362">
        <v>189.6</v>
      </c>
      <c r="V362" t="s">
        <v>47</v>
      </c>
      <c r="W362">
        <v>173.5</v>
      </c>
      <c r="X362">
        <v>181.6</v>
      </c>
      <c r="Y362">
        <v>178.6</v>
      </c>
      <c r="Z362">
        <v>186.6</v>
      </c>
      <c r="AA362">
        <v>169</v>
      </c>
      <c r="AB362">
        <v>172.8</v>
      </c>
      <c r="AC362">
        <v>178.5</v>
      </c>
      <c r="AD362">
        <v>180.7</v>
      </c>
      <c r="AE362">
        <v>177.9</v>
      </c>
      <c r="AF362">
        <v>178</v>
      </c>
      <c r="AG362">
        <v>2265.6999999999998</v>
      </c>
      <c r="AH362">
        <v>198.3</v>
      </c>
      <c r="AI362">
        <v>377</v>
      </c>
      <c r="AJ362">
        <v>892.30000000000007</v>
      </c>
      <c r="AK362">
        <v>186.6</v>
      </c>
      <c r="AL362">
        <v>169</v>
      </c>
      <c r="AM362">
        <v>172.8</v>
      </c>
      <c r="AN362">
        <v>178.5</v>
      </c>
    </row>
    <row r="363" spans="1:40" x14ac:dyDescent="0.25">
      <c r="A363" t="s">
        <v>32</v>
      </c>
      <c r="B363">
        <v>2023</v>
      </c>
      <c r="C363" t="s">
        <v>34</v>
      </c>
      <c r="D363" t="s">
        <v>85</v>
      </c>
      <c r="E363">
        <v>174.7</v>
      </c>
      <c r="F363">
        <v>212.2</v>
      </c>
      <c r="G363">
        <v>177.2</v>
      </c>
      <c r="H363">
        <v>177.9</v>
      </c>
      <c r="I363">
        <v>172.2</v>
      </c>
      <c r="J363">
        <v>172.1</v>
      </c>
      <c r="K363">
        <v>175.8</v>
      </c>
      <c r="L363">
        <v>172.2</v>
      </c>
      <c r="M363">
        <v>121.9</v>
      </c>
      <c r="N363">
        <v>204.8</v>
      </c>
      <c r="O363">
        <v>164.9</v>
      </c>
      <c r="P363">
        <v>196.6</v>
      </c>
      <c r="Q363">
        <v>180.7</v>
      </c>
      <c r="R363">
        <v>202.7</v>
      </c>
      <c r="S363">
        <v>180.3</v>
      </c>
      <c r="T363">
        <v>167</v>
      </c>
      <c r="U363">
        <v>178.2</v>
      </c>
      <c r="V363">
        <v>173.5</v>
      </c>
      <c r="W363">
        <v>173.5</v>
      </c>
      <c r="X363">
        <v>182.8</v>
      </c>
      <c r="Y363">
        <v>169.2</v>
      </c>
      <c r="Z363">
        <v>180.8</v>
      </c>
      <c r="AA363">
        <v>159.80000000000001</v>
      </c>
      <c r="AB363">
        <v>168.4</v>
      </c>
      <c r="AC363">
        <v>172.5</v>
      </c>
      <c r="AD363">
        <v>181.4</v>
      </c>
      <c r="AE363">
        <v>170</v>
      </c>
      <c r="AF363">
        <v>176.3</v>
      </c>
      <c r="AG363">
        <v>2303.1999999999998</v>
      </c>
      <c r="AH363">
        <v>202.7</v>
      </c>
      <c r="AI363">
        <v>347.3</v>
      </c>
      <c r="AJ363">
        <v>876.9</v>
      </c>
      <c r="AK363">
        <v>180.8</v>
      </c>
      <c r="AL363">
        <v>159.80000000000001</v>
      </c>
      <c r="AM363">
        <v>168.4</v>
      </c>
      <c r="AN363">
        <v>172.5</v>
      </c>
    </row>
    <row r="364" spans="1:40" x14ac:dyDescent="0.25">
      <c r="A364" t="s">
        <v>33</v>
      </c>
      <c r="B364">
        <v>2023</v>
      </c>
      <c r="C364" t="s">
        <v>34</v>
      </c>
      <c r="D364" t="s">
        <v>85</v>
      </c>
      <c r="E364">
        <v>174.4</v>
      </c>
      <c r="F364">
        <v>207.7</v>
      </c>
      <c r="G364">
        <v>175.2</v>
      </c>
      <c r="H364">
        <v>177.3</v>
      </c>
      <c r="I364">
        <v>179.3</v>
      </c>
      <c r="J364">
        <v>169.5</v>
      </c>
      <c r="K364">
        <v>152.69999999999999</v>
      </c>
      <c r="L364">
        <v>171</v>
      </c>
      <c r="M364">
        <v>120</v>
      </c>
      <c r="N364">
        <v>209.7</v>
      </c>
      <c r="O364">
        <v>172.3</v>
      </c>
      <c r="P364">
        <v>193</v>
      </c>
      <c r="Q364">
        <v>177</v>
      </c>
      <c r="R364">
        <v>199.5</v>
      </c>
      <c r="S364">
        <v>186.2</v>
      </c>
      <c r="T364">
        <v>178.7</v>
      </c>
      <c r="U364">
        <v>185.1</v>
      </c>
      <c r="V364">
        <v>173.5</v>
      </c>
      <c r="W364">
        <v>173.5</v>
      </c>
      <c r="X364">
        <v>182.1</v>
      </c>
      <c r="Y364">
        <v>174.2</v>
      </c>
      <c r="Z364">
        <v>184.4</v>
      </c>
      <c r="AA364">
        <v>164.2</v>
      </c>
      <c r="AB364">
        <v>170.3</v>
      </c>
      <c r="AC364">
        <v>175</v>
      </c>
      <c r="AD364">
        <v>181</v>
      </c>
      <c r="AE364">
        <v>174.1</v>
      </c>
      <c r="AF364">
        <v>177.2</v>
      </c>
      <c r="AG364">
        <v>2279.1</v>
      </c>
      <c r="AH364">
        <v>199.5</v>
      </c>
      <c r="AI364">
        <v>364.9</v>
      </c>
      <c r="AJ364">
        <v>884.9</v>
      </c>
      <c r="AK364">
        <v>184.4</v>
      </c>
      <c r="AL364">
        <v>164.2</v>
      </c>
      <c r="AM364">
        <v>170.3</v>
      </c>
      <c r="AN364">
        <v>175</v>
      </c>
    </row>
    <row r="365" spans="1:40" x14ac:dyDescent="0.25">
      <c r="A365" t="s">
        <v>30</v>
      </c>
      <c r="B365">
        <v>2023</v>
      </c>
      <c r="C365" t="s">
        <v>35</v>
      </c>
      <c r="D365" t="s">
        <v>87</v>
      </c>
      <c r="E365">
        <v>174.3</v>
      </c>
      <c r="F365">
        <v>205.2</v>
      </c>
      <c r="G365">
        <v>173.9</v>
      </c>
      <c r="H365">
        <v>177</v>
      </c>
      <c r="I365">
        <v>183.3</v>
      </c>
      <c r="J365">
        <v>167.2</v>
      </c>
      <c r="K365">
        <v>140.9</v>
      </c>
      <c r="L365">
        <v>170.5</v>
      </c>
      <c r="M365">
        <v>119.1</v>
      </c>
      <c r="N365">
        <v>212.1</v>
      </c>
      <c r="O365">
        <v>177.6</v>
      </c>
      <c r="P365">
        <v>189.9</v>
      </c>
      <c r="Q365">
        <v>174.8</v>
      </c>
      <c r="R365">
        <v>198.4</v>
      </c>
      <c r="S365">
        <v>190</v>
      </c>
      <c r="T365">
        <v>187</v>
      </c>
      <c r="U365">
        <v>189.6</v>
      </c>
      <c r="V365" t="s">
        <v>47</v>
      </c>
      <c r="W365">
        <v>173.5</v>
      </c>
      <c r="X365">
        <v>181.4</v>
      </c>
      <c r="Y365">
        <v>178.6</v>
      </c>
      <c r="Z365">
        <v>186.6</v>
      </c>
      <c r="AA365">
        <v>169</v>
      </c>
      <c r="AB365">
        <v>172.8</v>
      </c>
      <c r="AC365">
        <v>178.5</v>
      </c>
      <c r="AD365">
        <v>180.7</v>
      </c>
      <c r="AE365">
        <v>177.9</v>
      </c>
      <c r="AF365">
        <v>178</v>
      </c>
      <c r="AG365">
        <v>2265.8000000000002</v>
      </c>
      <c r="AH365">
        <v>198.4</v>
      </c>
      <c r="AI365">
        <v>377</v>
      </c>
      <c r="AJ365">
        <v>892.1</v>
      </c>
      <c r="AK365">
        <v>186.6</v>
      </c>
      <c r="AL365">
        <v>169</v>
      </c>
      <c r="AM365">
        <v>172.8</v>
      </c>
      <c r="AN365">
        <v>178.5</v>
      </c>
    </row>
    <row r="366" spans="1:40" x14ac:dyDescent="0.25">
      <c r="A366" t="s">
        <v>32</v>
      </c>
      <c r="B366">
        <v>2023</v>
      </c>
      <c r="C366" t="s">
        <v>35</v>
      </c>
      <c r="D366" t="s">
        <v>87</v>
      </c>
      <c r="E366">
        <v>174.7</v>
      </c>
      <c r="F366">
        <v>212.2</v>
      </c>
      <c r="G366">
        <v>177.2</v>
      </c>
      <c r="H366">
        <v>177.9</v>
      </c>
      <c r="I366">
        <v>172.2</v>
      </c>
      <c r="J366">
        <v>172.1</v>
      </c>
      <c r="K366">
        <v>175.9</v>
      </c>
      <c r="L366">
        <v>172.2</v>
      </c>
      <c r="M366">
        <v>121.9</v>
      </c>
      <c r="N366">
        <v>204.8</v>
      </c>
      <c r="O366">
        <v>164.9</v>
      </c>
      <c r="P366">
        <v>196.6</v>
      </c>
      <c r="Q366">
        <v>180.8</v>
      </c>
      <c r="R366">
        <v>202.7</v>
      </c>
      <c r="S366">
        <v>180.2</v>
      </c>
      <c r="T366">
        <v>167</v>
      </c>
      <c r="U366">
        <v>178.2</v>
      </c>
      <c r="V366">
        <v>173.5</v>
      </c>
      <c r="W366">
        <v>173.5</v>
      </c>
      <c r="X366">
        <v>182.6</v>
      </c>
      <c r="Y366">
        <v>169.2</v>
      </c>
      <c r="Z366">
        <v>180.8</v>
      </c>
      <c r="AA366">
        <v>159.80000000000001</v>
      </c>
      <c r="AB366">
        <v>168.4</v>
      </c>
      <c r="AC366">
        <v>172.5</v>
      </c>
      <c r="AD366">
        <v>181.5</v>
      </c>
      <c r="AE366">
        <v>170</v>
      </c>
      <c r="AF366">
        <v>176.3</v>
      </c>
      <c r="AG366">
        <v>2303.4</v>
      </c>
      <c r="AH366">
        <v>202.7</v>
      </c>
      <c r="AI366">
        <v>347.2</v>
      </c>
      <c r="AJ366">
        <v>876.8</v>
      </c>
      <c r="AK366">
        <v>180.8</v>
      </c>
      <c r="AL366">
        <v>159.80000000000001</v>
      </c>
      <c r="AM366">
        <v>168.4</v>
      </c>
      <c r="AN366">
        <v>172.5</v>
      </c>
    </row>
    <row r="367" spans="1:40" x14ac:dyDescent="0.25">
      <c r="A367" t="s">
        <v>33</v>
      </c>
      <c r="B367">
        <v>2023</v>
      </c>
      <c r="C367" t="s">
        <v>35</v>
      </c>
      <c r="D367" t="s">
        <v>87</v>
      </c>
      <c r="E367">
        <v>174.4</v>
      </c>
      <c r="F367">
        <v>207.7</v>
      </c>
      <c r="G367">
        <v>175.2</v>
      </c>
      <c r="H367">
        <v>177.3</v>
      </c>
      <c r="I367">
        <v>179.2</v>
      </c>
      <c r="J367">
        <v>169.5</v>
      </c>
      <c r="K367">
        <v>152.80000000000001</v>
      </c>
      <c r="L367">
        <v>171.1</v>
      </c>
      <c r="M367">
        <v>120</v>
      </c>
      <c r="N367">
        <v>209.7</v>
      </c>
      <c r="O367">
        <v>172.3</v>
      </c>
      <c r="P367">
        <v>193</v>
      </c>
      <c r="Q367">
        <v>177</v>
      </c>
      <c r="R367">
        <v>199.5</v>
      </c>
      <c r="S367">
        <v>186.1</v>
      </c>
      <c r="T367">
        <v>178.7</v>
      </c>
      <c r="U367">
        <v>185.1</v>
      </c>
      <c r="V367">
        <v>173.5</v>
      </c>
      <c r="W367">
        <v>173.5</v>
      </c>
      <c r="X367">
        <v>181.9</v>
      </c>
      <c r="Y367">
        <v>174.2</v>
      </c>
      <c r="Z367">
        <v>184.4</v>
      </c>
      <c r="AA367">
        <v>164.2</v>
      </c>
      <c r="AB367">
        <v>170.3</v>
      </c>
      <c r="AC367">
        <v>175</v>
      </c>
      <c r="AD367">
        <v>181</v>
      </c>
      <c r="AE367">
        <v>174.1</v>
      </c>
      <c r="AF367">
        <v>177.2</v>
      </c>
      <c r="AG367">
        <v>2279.1999999999998</v>
      </c>
      <c r="AH367">
        <v>199.5</v>
      </c>
      <c r="AI367">
        <v>364.79999999999995</v>
      </c>
      <c r="AJ367">
        <v>884.69999999999993</v>
      </c>
      <c r="AK367">
        <v>184.4</v>
      </c>
      <c r="AL367">
        <v>164.2</v>
      </c>
      <c r="AM367">
        <v>170.3</v>
      </c>
      <c r="AN367">
        <v>175</v>
      </c>
    </row>
    <row r="368" spans="1:40" x14ac:dyDescent="0.25">
      <c r="A368" t="s">
        <v>30</v>
      </c>
      <c r="B368">
        <v>2023</v>
      </c>
      <c r="C368" t="s">
        <v>36</v>
      </c>
      <c r="D368" t="s">
        <v>84</v>
      </c>
      <c r="E368">
        <v>173.3</v>
      </c>
      <c r="F368">
        <v>206.9</v>
      </c>
      <c r="G368">
        <v>167.9</v>
      </c>
      <c r="H368">
        <v>178.2</v>
      </c>
      <c r="I368">
        <v>178.5</v>
      </c>
      <c r="J368">
        <v>173.7</v>
      </c>
      <c r="K368">
        <v>142.80000000000001</v>
      </c>
      <c r="L368">
        <v>172.8</v>
      </c>
      <c r="M368">
        <v>120.4</v>
      </c>
      <c r="N368">
        <v>215.5</v>
      </c>
      <c r="O368">
        <v>178.2</v>
      </c>
      <c r="P368">
        <v>190.5</v>
      </c>
      <c r="Q368">
        <v>175.5</v>
      </c>
      <c r="R368">
        <v>199.5</v>
      </c>
      <c r="S368">
        <v>190.7</v>
      </c>
      <c r="T368">
        <v>187.3</v>
      </c>
      <c r="U368">
        <v>190.2</v>
      </c>
      <c r="V368" t="s">
        <v>48</v>
      </c>
      <c r="W368">
        <v>175.2</v>
      </c>
      <c r="X368">
        <v>181.5</v>
      </c>
      <c r="Y368">
        <v>179.1</v>
      </c>
      <c r="Z368">
        <v>187.2</v>
      </c>
      <c r="AA368">
        <v>169.4</v>
      </c>
      <c r="AB368">
        <v>173.2</v>
      </c>
      <c r="AC368">
        <v>179.4</v>
      </c>
      <c r="AD368">
        <v>183.8</v>
      </c>
      <c r="AE368">
        <v>178.9</v>
      </c>
      <c r="AF368">
        <v>178.8</v>
      </c>
      <c r="AG368">
        <v>2274.1999999999998</v>
      </c>
      <c r="AH368">
        <v>199.5</v>
      </c>
      <c r="AI368">
        <v>378</v>
      </c>
      <c r="AJ368">
        <v>898.49999999999989</v>
      </c>
      <c r="AK368">
        <v>187.2</v>
      </c>
      <c r="AL368">
        <v>169.4</v>
      </c>
      <c r="AM368">
        <v>173.2</v>
      </c>
      <c r="AN368">
        <v>179.4</v>
      </c>
    </row>
    <row r="369" spans="1:40" x14ac:dyDescent="0.25">
      <c r="A369" t="s">
        <v>32</v>
      </c>
      <c r="B369">
        <v>2023</v>
      </c>
      <c r="C369" t="s">
        <v>36</v>
      </c>
      <c r="D369" t="s">
        <v>84</v>
      </c>
      <c r="E369">
        <v>174.8</v>
      </c>
      <c r="F369">
        <v>213.7</v>
      </c>
      <c r="G369">
        <v>172.4</v>
      </c>
      <c r="H369">
        <v>178.8</v>
      </c>
      <c r="I369">
        <v>168.7</v>
      </c>
      <c r="J369">
        <v>179.2</v>
      </c>
      <c r="K369">
        <v>179.9</v>
      </c>
      <c r="L369">
        <v>174.7</v>
      </c>
      <c r="M369">
        <v>123.1</v>
      </c>
      <c r="N369">
        <v>207.8</v>
      </c>
      <c r="O369">
        <v>165.5</v>
      </c>
      <c r="P369">
        <v>197</v>
      </c>
      <c r="Q369">
        <v>182.1</v>
      </c>
      <c r="R369">
        <v>203.5</v>
      </c>
      <c r="S369">
        <v>181</v>
      </c>
      <c r="T369">
        <v>167.7</v>
      </c>
      <c r="U369">
        <v>178.9</v>
      </c>
      <c r="V369">
        <v>175.2</v>
      </c>
      <c r="W369">
        <v>175.2</v>
      </c>
      <c r="X369">
        <v>182.1</v>
      </c>
      <c r="Y369">
        <v>169.6</v>
      </c>
      <c r="Z369">
        <v>181.5</v>
      </c>
      <c r="AA369">
        <v>160.1</v>
      </c>
      <c r="AB369">
        <v>168.8</v>
      </c>
      <c r="AC369">
        <v>174.2</v>
      </c>
      <c r="AD369">
        <v>184.4</v>
      </c>
      <c r="AE369">
        <v>170.9</v>
      </c>
      <c r="AF369">
        <v>177.4</v>
      </c>
      <c r="AG369">
        <v>2317.7000000000003</v>
      </c>
      <c r="AH369">
        <v>203.5</v>
      </c>
      <c r="AI369">
        <v>348.7</v>
      </c>
      <c r="AJ369">
        <v>882.19999999999993</v>
      </c>
      <c r="AK369">
        <v>181.5</v>
      </c>
      <c r="AL369">
        <v>160.1</v>
      </c>
      <c r="AM369">
        <v>168.8</v>
      </c>
      <c r="AN369">
        <v>174.2</v>
      </c>
    </row>
    <row r="370" spans="1:40" x14ac:dyDescent="0.25">
      <c r="A370" t="s">
        <v>33</v>
      </c>
      <c r="B370">
        <v>2023</v>
      </c>
      <c r="C370" t="s">
        <v>36</v>
      </c>
      <c r="D370" t="s">
        <v>84</v>
      </c>
      <c r="E370">
        <v>173.8</v>
      </c>
      <c r="F370">
        <v>209.3</v>
      </c>
      <c r="G370">
        <v>169.6</v>
      </c>
      <c r="H370">
        <v>178.4</v>
      </c>
      <c r="I370">
        <v>174.9</v>
      </c>
      <c r="J370">
        <v>176.3</v>
      </c>
      <c r="K370">
        <v>155.4</v>
      </c>
      <c r="L370">
        <v>173.4</v>
      </c>
      <c r="M370">
        <v>121.3</v>
      </c>
      <c r="N370">
        <v>212.9</v>
      </c>
      <c r="O370">
        <v>172.9</v>
      </c>
      <c r="P370">
        <v>193.5</v>
      </c>
      <c r="Q370">
        <v>177.9</v>
      </c>
      <c r="R370">
        <v>200.6</v>
      </c>
      <c r="S370">
        <v>186.9</v>
      </c>
      <c r="T370">
        <v>179.2</v>
      </c>
      <c r="U370">
        <v>185.7</v>
      </c>
      <c r="V370">
        <v>175.2</v>
      </c>
      <c r="W370">
        <v>175.2</v>
      </c>
      <c r="X370">
        <v>181.7</v>
      </c>
      <c r="Y370">
        <v>174.6</v>
      </c>
      <c r="Z370">
        <v>185</v>
      </c>
      <c r="AA370">
        <v>164.5</v>
      </c>
      <c r="AB370">
        <v>170.7</v>
      </c>
      <c r="AC370">
        <v>176.4</v>
      </c>
      <c r="AD370">
        <v>184</v>
      </c>
      <c r="AE370">
        <v>175</v>
      </c>
      <c r="AF370">
        <v>178.1</v>
      </c>
      <c r="AG370">
        <v>2289.6000000000004</v>
      </c>
      <c r="AH370">
        <v>200.6</v>
      </c>
      <c r="AI370">
        <v>366.1</v>
      </c>
      <c r="AJ370">
        <v>890.5</v>
      </c>
      <c r="AK370">
        <v>185</v>
      </c>
      <c r="AL370">
        <v>164.5</v>
      </c>
      <c r="AM370">
        <v>170.7</v>
      </c>
      <c r="AN370">
        <v>176.4</v>
      </c>
    </row>
    <row r="371" spans="1:40" x14ac:dyDescent="0.25">
      <c r="A371" t="s">
        <v>30</v>
      </c>
      <c r="B371">
        <v>2023</v>
      </c>
      <c r="C371" t="s">
        <v>37</v>
      </c>
      <c r="D371" t="s">
        <v>88</v>
      </c>
      <c r="E371">
        <v>173.2</v>
      </c>
      <c r="F371">
        <v>211.5</v>
      </c>
      <c r="G371">
        <v>171</v>
      </c>
      <c r="H371">
        <v>179.6</v>
      </c>
      <c r="I371">
        <v>173.3</v>
      </c>
      <c r="J371">
        <v>169</v>
      </c>
      <c r="K371">
        <v>148.69999999999999</v>
      </c>
      <c r="L371">
        <v>174.9</v>
      </c>
      <c r="M371">
        <v>121.9</v>
      </c>
      <c r="N371">
        <v>221</v>
      </c>
      <c r="O371">
        <v>178.7</v>
      </c>
      <c r="P371">
        <v>191.1</v>
      </c>
      <c r="Q371">
        <v>176.8</v>
      </c>
      <c r="R371">
        <v>199.9</v>
      </c>
      <c r="S371">
        <v>191.2</v>
      </c>
      <c r="T371">
        <v>187.9</v>
      </c>
      <c r="U371">
        <v>190.8</v>
      </c>
      <c r="V371" t="s">
        <v>48</v>
      </c>
      <c r="W371">
        <v>175.6</v>
      </c>
      <c r="X371">
        <v>182.5</v>
      </c>
      <c r="Y371">
        <v>179.8</v>
      </c>
      <c r="Z371">
        <v>187.8</v>
      </c>
      <c r="AA371">
        <v>169.7</v>
      </c>
      <c r="AB371">
        <v>173.8</v>
      </c>
      <c r="AC371">
        <v>180.3</v>
      </c>
      <c r="AD371">
        <v>184.9</v>
      </c>
      <c r="AE371">
        <v>179.5</v>
      </c>
      <c r="AF371">
        <v>179.8</v>
      </c>
      <c r="AG371">
        <v>2290.7000000000007</v>
      </c>
      <c r="AH371">
        <v>199.9</v>
      </c>
      <c r="AI371">
        <v>379.1</v>
      </c>
      <c r="AJ371">
        <v>902.30000000000007</v>
      </c>
      <c r="AK371">
        <v>187.8</v>
      </c>
      <c r="AL371">
        <v>169.7</v>
      </c>
      <c r="AM371">
        <v>173.8</v>
      </c>
      <c r="AN371">
        <v>180.3</v>
      </c>
    </row>
    <row r="372" spans="1:40" x14ac:dyDescent="0.25">
      <c r="A372" t="s">
        <v>32</v>
      </c>
      <c r="B372">
        <v>2023</v>
      </c>
      <c r="C372" t="s">
        <v>37</v>
      </c>
      <c r="D372" t="s">
        <v>88</v>
      </c>
      <c r="E372">
        <v>174.7</v>
      </c>
      <c r="F372">
        <v>219.4</v>
      </c>
      <c r="G372">
        <v>176.7</v>
      </c>
      <c r="H372">
        <v>179.4</v>
      </c>
      <c r="I372">
        <v>164.4</v>
      </c>
      <c r="J372">
        <v>175.8</v>
      </c>
      <c r="K372">
        <v>185</v>
      </c>
      <c r="L372">
        <v>176.9</v>
      </c>
      <c r="M372">
        <v>124.2</v>
      </c>
      <c r="N372">
        <v>211.9</v>
      </c>
      <c r="O372">
        <v>165.9</v>
      </c>
      <c r="P372">
        <v>197.7</v>
      </c>
      <c r="Q372">
        <v>183.1</v>
      </c>
      <c r="R372">
        <v>204.2</v>
      </c>
      <c r="S372">
        <v>181.3</v>
      </c>
      <c r="T372">
        <v>168.1</v>
      </c>
      <c r="U372">
        <v>179.3</v>
      </c>
      <c r="V372">
        <v>175.6</v>
      </c>
      <c r="W372">
        <v>175.6</v>
      </c>
      <c r="X372">
        <v>183.4</v>
      </c>
      <c r="Y372">
        <v>170.1</v>
      </c>
      <c r="Z372">
        <v>182.2</v>
      </c>
      <c r="AA372">
        <v>160.4</v>
      </c>
      <c r="AB372">
        <v>169.2</v>
      </c>
      <c r="AC372">
        <v>174.8</v>
      </c>
      <c r="AD372">
        <v>185.6</v>
      </c>
      <c r="AE372">
        <v>171.6</v>
      </c>
      <c r="AF372">
        <v>178.2</v>
      </c>
      <c r="AG372">
        <v>2335.1</v>
      </c>
      <c r="AH372">
        <v>204.2</v>
      </c>
      <c r="AI372">
        <v>349.4</v>
      </c>
      <c r="AJ372">
        <v>886.30000000000007</v>
      </c>
      <c r="AK372">
        <v>182.2</v>
      </c>
      <c r="AL372">
        <v>160.4</v>
      </c>
      <c r="AM372">
        <v>169.2</v>
      </c>
      <c r="AN372">
        <v>174.8</v>
      </c>
    </row>
    <row r="373" spans="1:40" x14ac:dyDescent="0.25">
      <c r="A373" t="s">
        <v>33</v>
      </c>
      <c r="B373">
        <v>2023</v>
      </c>
      <c r="C373" t="s">
        <v>37</v>
      </c>
      <c r="D373" t="s">
        <v>88</v>
      </c>
      <c r="E373">
        <v>173.7</v>
      </c>
      <c r="F373">
        <v>214.3</v>
      </c>
      <c r="G373">
        <v>173.2</v>
      </c>
      <c r="H373">
        <v>179.5</v>
      </c>
      <c r="I373">
        <v>170</v>
      </c>
      <c r="J373">
        <v>172.2</v>
      </c>
      <c r="K373">
        <v>161</v>
      </c>
      <c r="L373">
        <v>175.6</v>
      </c>
      <c r="M373">
        <v>122.7</v>
      </c>
      <c r="N373">
        <v>218</v>
      </c>
      <c r="O373">
        <v>173.4</v>
      </c>
      <c r="P373">
        <v>194.2</v>
      </c>
      <c r="Q373">
        <v>179.1</v>
      </c>
      <c r="R373">
        <v>201</v>
      </c>
      <c r="S373">
        <v>187.3</v>
      </c>
      <c r="T373">
        <v>179.7</v>
      </c>
      <c r="U373">
        <v>186.2</v>
      </c>
      <c r="V373">
        <v>175.6</v>
      </c>
      <c r="W373">
        <v>175.6</v>
      </c>
      <c r="X373">
        <v>182.8</v>
      </c>
      <c r="Y373">
        <v>175.2</v>
      </c>
      <c r="Z373">
        <v>185.7</v>
      </c>
      <c r="AA373">
        <v>164.8</v>
      </c>
      <c r="AB373">
        <v>171.2</v>
      </c>
      <c r="AC373">
        <v>177.1</v>
      </c>
      <c r="AD373">
        <v>185.2</v>
      </c>
      <c r="AE373">
        <v>175.7</v>
      </c>
      <c r="AF373">
        <v>179.1</v>
      </c>
      <c r="AG373">
        <v>2306.9</v>
      </c>
      <c r="AH373">
        <v>201</v>
      </c>
      <c r="AI373">
        <v>367</v>
      </c>
      <c r="AJ373">
        <v>894.5</v>
      </c>
      <c r="AK373">
        <v>185.7</v>
      </c>
      <c r="AL373">
        <v>164.8</v>
      </c>
      <c r="AM373">
        <v>171.2</v>
      </c>
      <c r="AN373">
        <v>177.1</v>
      </c>
    </row>
  </sheetData>
  <autoFilter ref="A1:AN373" xr:uid="{00000000-0009-0000-0000-000000000000}"/>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U37"/>
  <sheetViews>
    <sheetView tabSelected="1" topLeftCell="K5" workbookViewId="0">
      <selection activeCell="AJ7" sqref="AI7:AJ7"/>
    </sheetView>
  </sheetViews>
  <sheetFormatPr defaultRowHeight="15" x14ac:dyDescent="0.25"/>
  <sheetData>
    <row r="37" spans="21:21" x14ac:dyDescent="0.25">
      <c r="U37" t="s">
        <v>226</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E4:W45"/>
  <sheetViews>
    <sheetView topLeftCell="G34" workbookViewId="0">
      <selection activeCell="P42" sqref="P42"/>
    </sheetView>
  </sheetViews>
  <sheetFormatPr defaultRowHeight="15" x14ac:dyDescent="0.25"/>
  <cols>
    <col min="5" max="5" width="13.140625" bestFit="1" customWidth="1"/>
    <col min="6" max="6" width="20.28515625" bestFit="1" customWidth="1"/>
    <col min="7" max="7" width="19.5703125" bestFit="1" customWidth="1"/>
    <col min="8" max="8" width="34" bestFit="1" customWidth="1"/>
    <col min="9" max="9" width="24.42578125" bestFit="1" customWidth="1"/>
    <col min="10" max="10" width="21.85546875" bestFit="1" customWidth="1"/>
    <col min="11" max="11" width="23.140625" bestFit="1" customWidth="1"/>
    <col min="12" max="12" width="23.42578125" bestFit="1" customWidth="1"/>
    <col min="13" max="14" width="23.140625" bestFit="1" customWidth="1"/>
    <col min="15" max="15" width="11.5703125" customWidth="1"/>
    <col min="22" max="22" width="21.140625" bestFit="1" customWidth="1"/>
    <col min="23" max="23" width="20.7109375" bestFit="1" customWidth="1"/>
  </cols>
  <sheetData>
    <row r="4" spans="5:13" x14ac:dyDescent="0.25">
      <c r="E4" s="8" t="s">
        <v>1</v>
      </c>
      <c r="F4" s="9">
        <v>2023</v>
      </c>
    </row>
    <row r="5" spans="5:13" x14ac:dyDescent="0.25">
      <c r="E5" s="8" t="s">
        <v>2</v>
      </c>
      <c r="F5" t="s">
        <v>37</v>
      </c>
    </row>
    <row r="7" spans="5:13" x14ac:dyDescent="0.25">
      <c r="E7" s="8" t="s">
        <v>57</v>
      </c>
      <c r="F7" t="s">
        <v>59</v>
      </c>
      <c r="G7" t="s">
        <v>65</v>
      </c>
      <c r="H7" t="s">
        <v>64</v>
      </c>
      <c r="I7" t="s">
        <v>63</v>
      </c>
      <c r="J7" t="s">
        <v>62</v>
      </c>
      <c r="K7" t="s">
        <v>67</v>
      </c>
      <c r="L7" t="s">
        <v>61</v>
      </c>
      <c r="M7" t="s">
        <v>60</v>
      </c>
    </row>
    <row r="8" spans="5:13" x14ac:dyDescent="0.25">
      <c r="E8" s="9" t="s">
        <v>30</v>
      </c>
      <c r="F8">
        <v>2290.7000000000007</v>
      </c>
      <c r="G8">
        <v>180.3</v>
      </c>
      <c r="H8">
        <v>173.8</v>
      </c>
      <c r="I8">
        <v>169.7</v>
      </c>
      <c r="J8">
        <v>187.8</v>
      </c>
      <c r="K8">
        <v>902.30000000000007</v>
      </c>
      <c r="L8">
        <v>379.1</v>
      </c>
      <c r="M8">
        <v>199.9</v>
      </c>
    </row>
    <row r="9" spans="5:13" x14ac:dyDescent="0.25">
      <c r="E9" s="9" t="s">
        <v>33</v>
      </c>
      <c r="F9">
        <v>2306.9</v>
      </c>
      <c r="G9">
        <v>177.1</v>
      </c>
      <c r="H9">
        <v>171.2</v>
      </c>
      <c r="I9">
        <v>164.8</v>
      </c>
      <c r="J9">
        <v>185.7</v>
      </c>
      <c r="K9">
        <v>894.5</v>
      </c>
      <c r="L9">
        <v>367</v>
      </c>
      <c r="M9">
        <v>201</v>
      </c>
    </row>
    <row r="10" spans="5:13" x14ac:dyDescent="0.25">
      <c r="E10" s="9" t="s">
        <v>32</v>
      </c>
      <c r="F10">
        <v>2335.1</v>
      </c>
      <c r="G10">
        <v>174.8</v>
      </c>
      <c r="H10">
        <v>169.2</v>
      </c>
      <c r="I10">
        <v>160.4</v>
      </c>
      <c r="J10">
        <v>182.2</v>
      </c>
      <c r="K10">
        <v>886.30000000000007</v>
      </c>
      <c r="L10">
        <v>349.4</v>
      </c>
      <c r="M10">
        <v>204.2</v>
      </c>
    </row>
    <row r="11" spans="5:13" x14ac:dyDescent="0.25">
      <c r="E11" s="9" t="s">
        <v>58</v>
      </c>
      <c r="F11">
        <v>6932.7000000000007</v>
      </c>
      <c r="G11">
        <v>532.20000000000005</v>
      </c>
      <c r="H11">
        <v>514.20000000000005</v>
      </c>
      <c r="I11">
        <v>494.9</v>
      </c>
      <c r="J11">
        <v>555.70000000000005</v>
      </c>
      <c r="K11">
        <v>2683.1000000000004</v>
      </c>
      <c r="L11">
        <v>1095.5</v>
      </c>
      <c r="M11">
        <v>605.09999999999991</v>
      </c>
    </row>
    <row r="41" spans="5:23" x14ac:dyDescent="0.25">
      <c r="E41" s="14" t="s">
        <v>57</v>
      </c>
      <c r="F41" s="14" t="s">
        <v>2</v>
      </c>
      <c r="G41" s="14" t="s">
        <v>59</v>
      </c>
      <c r="H41" s="14" t="s">
        <v>65</v>
      </c>
      <c r="I41" s="14" t="s">
        <v>64</v>
      </c>
      <c r="J41" s="14" t="s">
        <v>63</v>
      </c>
      <c r="K41" s="14" t="s">
        <v>62</v>
      </c>
      <c r="L41" s="14" t="s">
        <v>67</v>
      </c>
      <c r="M41" s="14" t="s">
        <v>61</v>
      </c>
      <c r="N41" s="14" t="s">
        <v>60</v>
      </c>
      <c r="O41" s="15" t="s">
        <v>68</v>
      </c>
      <c r="P41" s="14" t="s">
        <v>69</v>
      </c>
      <c r="Q41" s="14" t="s">
        <v>70</v>
      </c>
      <c r="R41" s="14" t="s">
        <v>227</v>
      </c>
      <c r="S41" s="14" t="s">
        <v>228</v>
      </c>
      <c r="T41" s="14" t="s">
        <v>229</v>
      </c>
      <c r="U41" s="14" t="s">
        <v>71</v>
      </c>
      <c r="V41" s="14" t="s">
        <v>230</v>
      </c>
      <c r="W41" s="14" t="s">
        <v>231</v>
      </c>
    </row>
    <row r="42" spans="5:23" x14ac:dyDescent="0.25">
      <c r="E42" s="16" t="s">
        <v>30</v>
      </c>
      <c r="F42" s="16" t="s">
        <v>88</v>
      </c>
      <c r="G42" s="17">
        <f>SUMIFS('CIP-Main data'!$AG$1:$AG$373,'CIP-Main data'!$A$1:$A$373,'ana-1'!$E42,'CIP-Main data'!$D$1:$D$373,'ana-1'!$F42)</f>
        <v>2290.7000000000007</v>
      </c>
      <c r="H42" s="17">
        <v>180.3</v>
      </c>
      <c r="I42" s="17">
        <v>173.8</v>
      </c>
      <c r="J42" s="17">
        <v>169.7</v>
      </c>
      <c r="K42" s="17">
        <v>187.8</v>
      </c>
      <c r="L42" s="17">
        <v>902.30000000000007</v>
      </c>
      <c r="M42" s="17">
        <v>379.1</v>
      </c>
      <c r="N42" s="17">
        <v>199.9</v>
      </c>
      <c r="O42" s="32">
        <f>SUM(G42:N42)</f>
        <v>4483.6000000000013</v>
      </c>
      <c r="P42" s="18">
        <f>(G$42/$O$42)</f>
        <v>0.51090641448835761</v>
      </c>
      <c r="Q42" s="18">
        <f t="shared" ref="Q42:W42" si="0">(H$42/$O$42)</f>
        <v>4.0213221518422687E-2</v>
      </c>
      <c r="R42" s="18">
        <f t="shared" si="0"/>
        <v>3.8763493621197243E-2</v>
      </c>
      <c r="S42" s="18">
        <f t="shared" si="0"/>
        <v>3.7849049870639653E-2</v>
      </c>
      <c r="T42" s="18">
        <f t="shared" si="0"/>
        <v>4.1885984476759737E-2</v>
      </c>
      <c r="U42" s="18">
        <f t="shared" si="0"/>
        <v>0.20124453564100273</v>
      </c>
      <c r="V42" s="18">
        <f t="shared" si="0"/>
        <v>8.4552591667410096E-2</v>
      </c>
      <c r="W42" s="18">
        <f t="shared" si="0"/>
        <v>4.4584708716210175E-2</v>
      </c>
    </row>
    <row r="43" spans="5:23" x14ac:dyDescent="0.25">
      <c r="E43" s="16" t="s">
        <v>33</v>
      </c>
      <c r="F43" s="16" t="s">
        <v>88</v>
      </c>
      <c r="G43" s="17">
        <f>SUMIFS('CIP-Main data'!$AG$1:$AG$373,'CIP-Main data'!$A$1:$A$373,'ana-1'!$E43,'CIP-Main data'!$D$1:$D$373,'ana-1'!$F43)</f>
        <v>2306.9</v>
      </c>
      <c r="H43" s="17">
        <v>177.1</v>
      </c>
      <c r="I43" s="17">
        <v>171.2</v>
      </c>
      <c r="J43" s="17">
        <v>164.8</v>
      </c>
      <c r="K43" s="17">
        <v>185.7</v>
      </c>
      <c r="L43" s="17">
        <v>894.5</v>
      </c>
      <c r="M43" s="17">
        <v>367</v>
      </c>
      <c r="N43" s="17">
        <v>201</v>
      </c>
      <c r="O43" s="32">
        <f>SUM(F43:N43)</f>
        <v>4468.2</v>
      </c>
      <c r="P43" s="18">
        <f>(G$43/$O$43)</f>
        <v>0.5162929143726781</v>
      </c>
      <c r="Q43" s="18">
        <f t="shared" ref="Q43:W43" si="1">(H$43/$O$43)</f>
        <v>3.96356474643033E-2</v>
      </c>
      <c r="R43" s="18">
        <f t="shared" si="1"/>
        <v>3.8315205228056037E-2</v>
      </c>
      <c r="S43" s="18">
        <f t="shared" si="1"/>
        <v>3.6882861107381051E-2</v>
      </c>
      <c r="T43" s="18">
        <f t="shared" si="1"/>
        <v>4.1560359876460319E-2</v>
      </c>
      <c r="U43" s="18">
        <f t="shared" si="1"/>
        <v>0.2001924712412157</v>
      </c>
      <c r="V43" s="18">
        <f t="shared" si="1"/>
        <v>8.2135983169956586E-2</v>
      </c>
      <c r="W43" s="18">
        <f t="shared" si="1"/>
        <v>4.4984557539948976E-2</v>
      </c>
    </row>
    <row r="44" spans="5:23" x14ac:dyDescent="0.25">
      <c r="E44" s="16" t="s">
        <v>32</v>
      </c>
      <c r="F44" s="16" t="s">
        <v>88</v>
      </c>
      <c r="G44" s="17">
        <f>SUMIFS('CIP-Main data'!$AG$1:$AG$373,'CIP-Main data'!$A$1:$A$373,'ana-1'!$E44,'CIP-Main data'!$D$1:$D$373,'ana-1'!$F44)</f>
        <v>2335.1</v>
      </c>
      <c r="H44" s="17">
        <v>174.8</v>
      </c>
      <c r="I44" s="17">
        <v>169.2</v>
      </c>
      <c r="J44" s="17">
        <v>160.4</v>
      </c>
      <c r="K44" s="17">
        <v>182.2</v>
      </c>
      <c r="L44" s="17">
        <v>886.30000000000007</v>
      </c>
      <c r="M44" s="17">
        <v>349.4</v>
      </c>
      <c r="N44" s="17">
        <v>204.2</v>
      </c>
      <c r="O44" s="32">
        <f>SUM(G44:N44)</f>
        <v>4461.5999999999995</v>
      </c>
      <c r="P44" s="18">
        <f>(G$44/$O$44)</f>
        <v>0.52337726376187921</v>
      </c>
      <c r="Q44" s="18">
        <f t="shared" ref="Q44:W44" si="2">(H$44/$O$44)</f>
        <v>3.9178769948000722E-2</v>
      </c>
      <c r="R44" s="18">
        <f t="shared" si="2"/>
        <v>3.7923614846691774E-2</v>
      </c>
      <c r="S44" s="18">
        <f t="shared" si="2"/>
        <v>3.5951228258920574E-2</v>
      </c>
      <c r="T44" s="18">
        <f t="shared" si="2"/>
        <v>4.0837367760444686E-2</v>
      </c>
      <c r="U44" s="18">
        <f t="shared" si="2"/>
        <v>0.19865070826609293</v>
      </c>
      <c r="V44" s="18">
        <f t="shared" si="2"/>
        <v>7.831271292809755E-2</v>
      </c>
      <c r="W44" s="18">
        <f t="shared" si="2"/>
        <v>4.5768334229872691E-2</v>
      </c>
    </row>
    <row r="45" spans="5:23" x14ac:dyDescent="0.25">
      <c r="E45" s="12"/>
      <c r="F45" s="13"/>
      <c r="G45" s="13"/>
      <c r="H45" s="13"/>
      <c r="I45" s="13"/>
      <c r="J45" s="13"/>
      <c r="K45" s="13"/>
      <c r="L45" s="13"/>
      <c r="M45" s="13"/>
    </row>
  </sheetData>
  <conditionalFormatting sqref="O42:W44">
    <cfRule type="colorScale" priority="5">
      <colorScale>
        <cfvo type="min"/>
        <cfvo type="percentile" val="50"/>
        <cfvo type="max"/>
        <color rgb="FFF8696B"/>
        <color rgb="FFFFEB84"/>
        <color rgb="FF63BE7B"/>
      </colorScale>
    </cfRule>
  </conditionalFormatting>
  <conditionalFormatting sqref="G42:G44">
    <cfRule type="colorScale" priority="4">
      <colorScale>
        <cfvo type="min"/>
        <cfvo type="percentile" val="50"/>
        <cfvo type="max"/>
        <color rgb="FFF8696B"/>
        <color rgb="FFFFEB84"/>
        <color rgb="FF63BE7B"/>
      </colorScale>
    </cfRule>
  </conditionalFormatting>
  <conditionalFormatting sqref="H42:N44">
    <cfRule type="colorScale" priority="3">
      <colorScale>
        <cfvo type="min"/>
        <cfvo type="percentile" val="50"/>
        <cfvo type="max"/>
        <color rgb="FFF8696B"/>
        <color rgb="FFFFEB84"/>
        <color rgb="FF63BE7B"/>
      </colorScale>
    </cfRule>
  </conditionalFormatting>
  <conditionalFormatting sqref="G42:N44">
    <cfRule type="colorScale" priority="2">
      <colorScale>
        <cfvo type="min"/>
        <cfvo type="percentile" val="50"/>
        <cfvo type="max"/>
        <color rgb="FFF8696B"/>
        <color rgb="FFFFEB84"/>
        <color rgb="FF63BE7B"/>
      </colorScale>
    </cfRule>
  </conditionalFormatting>
  <conditionalFormatting sqref="P42:W44">
    <cfRule type="colorScale" priority="1">
      <colorScale>
        <cfvo type="min"/>
        <cfvo type="percentile" val="50"/>
        <cfvo type="max"/>
        <color rgb="FFF8696B"/>
        <color rgb="FFFFEB84"/>
        <color rgb="FF63BE7B"/>
      </colorScale>
    </cfRule>
  </conditionalFormatting>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I15:AE42"/>
  <sheetViews>
    <sheetView topLeftCell="H9" zoomScale="104" workbookViewId="0">
      <selection activeCell="L18" sqref="L18"/>
    </sheetView>
  </sheetViews>
  <sheetFormatPr defaultRowHeight="15" x14ac:dyDescent="0.25"/>
  <cols>
    <col min="3" max="3" width="13.140625" bestFit="1" customWidth="1"/>
    <col min="4" max="4" width="20.42578125" bestFit="1" customWidth="1"/>
    <col min="7" max="7" width="13.140625" bestFit="1" customWidth="1"/>
    <col min="8" max="8" width="20.42578125" bestFit="1" customWidth="1"/>
    <col min="11" max="11" width="13.140625" bestFit="1" customWidth="1"/>
    <col min="12" max="12" width="20.42578125" bestFit="1" customWidth="1"/>
    <col min="13" max="13" width="12.5703125" bestFit="1" customWidth="1"/>
    <col min="27" max="27" width="12.7109375" bestFit="1" customWidth="1"/>
    <col min="30" max="30" width="27.140625" bestFit="1" customWidth="1"/>
    <col min="31" max="31" width="13.140625" bestFit="1" customWidth="1"/>
  </cols>
  <sheetData>
    <row r="15" spans="11:13" ht="15" customHeight="1" x14ac:dyDescent="0.35">
      <c r="K15" s="53" t="s">
        <v>74</v>
      </c>
      <c r="L15" s="53"/>
      <c r="M15" s="42"/>
    </row>
    <row r="16" spans="11:13" ht="15" customHeight="1" x14ac:dyDescent="0.35">
      <c r="K16" s="53"/>
      <c r="L16" s="53"/>
      <c r="M16" s="42"/>
    </row>
    <row r="17" spans="9:23" x14ac:dyDescent="0.25">
      <c r="K17" s="15" t="s">
        <v>57</v>
      </c>
      <c r="L17" s="15" t="s">
        <v>72</v>
      </c>
      <c r="M17" s="20" t="s">
        <v>73</v>
      </c>
      <c r="V17" s="11"/>
      <c r="W17" s="11"/>
    </row>
    <row r="18" spans="9:23" x14ac:dyDescent="0.25">
      <c r="I18" t="s">
        <v>33</v>
      </c>
      <c r="K18" s="16">
        <v>2013</v>
      </c>
      <c r="L18" s="43">
        <f>SUMIFS('CIP-Main data'!$AF$1:$AF$373,'CIP-Main data'!$A$1:$A$373,'Ana-2'!$I$18,'CIP-Main data'!$B$1:$B$373,'Ana-2'!$K18)</f>
        <v>1320.3999999999999</v>
      </c>
      <c r="M18" s="17"/>
      <c r="V18" s="9"/>
      <c r="W18" s="2"/>
    </row>
    <row r="19" spans="9:23" x14ac:dyDescent="0.25">
      <c r="K19" s="16">
        <v>2014</v>
      </c>
      <c r="L19" s="25">
        <v>1408.1999999999998</v>
      </c>
      <c r="M19" s="18">
        <f>(L19-L18)/L18</f>
        <v>6.6495001514692495E-2</v>
      </c>
      <c r="V19" s="9"/>
      <c r="W19" s="2"/>
    </row>
    <row r="20" spans="9:23" x14ac:dyDescent="0.25">
      <c r="K20" s="16">
        <v>2015</v>
      </c>
      <c r="L20" s="25">
        <v>1477.2999999999997</v>
      </c>
      <c r="M20" s="18">
        <f t="shared" ref="M20:M28" si="0">(L20-L19)/L19</f>
        <v>4.9069734412725406E-2</v>
      </c>
      <c r="N20" s="3"/>
      <c r="V20" s="9"/>
      <c r="W20" s="2"/>
    </row>
    <row r="21" spans="9:23" x14ac:dyDescent="0.25">
      <c r="K21" s="16">
        <v>2016</v>
      </c>
      <c r="L21" s="25">
        <v>1550.3999999999996</v>
      </c>
      <c r="M21" s="18">
        <f t="shared" si="0"/>
        <v>4.9482163406213989E-2</v>
      </c>
      <c r="N21" s="3"/>
      <c r="O21" s="10"/>
      <c r="V21" s="9"/>
      <c r="W21" s="2"/>
    </row>
    <row r="22" spans="9:23" x14ac:dyDescent="0.25">
      <c r="K22" s="16">
        <v>2017</v>
      </c>
      <c r="L22" s="25">
        <v>1601.9999999999998</v>
      </c>
      <c r="M22" s="18">
        <f t="shared" si="0"/>
        <v>3.3281733746130124E-2</v>
      </c>
      <c r="N22" s="3"/>
      <c r="O22" s="10"/>
      <c r="V22" s="9"/>
      <c r="W22" s="2"/>
    </row>
    <row r="23" spans="9:23" x14ac:dyDescent="0.25">
      <c r="K23" s="16">
        <v>2018</v>
      </c>
      <c r="L23" s="25">
        <v>1665.3</v>
      </c>
      <c r="M23" s="18">
        <f t="shared" si="0"/>
        <v>3.951310861423233E-2</v>
      </c>
      <c r="N23" s="3"/>
      <c r="O23" s="10"/>
      <c r="V23" s="9"/>
      <c r="W23" s="2"/>
    </row>
    <row r="24" spans="9:23" x14ac:dyDescent="0.25">
      <c r="K24" s="16">
        <v>2019</v>
      </c>
      <c r="L24" s="25">
        <v>1586.0000000000002</v>
      </c>
      <c r="M24" s="18">
        <f t="shared" si="0"/>
        <v>-4.7619047619047457E-2</v>
      </c>
      <c r="N24" s="3"/>
      <c r="O24" s="10"/>
      <c r="V24" s="9"/>
      <c r="W24" s="2"/>
    </row>
    <row r="25" spans="9:23" x14ac:dyDescent="0.25">
      <c r="K25" s="16">
        <v>2020</v>
      </c>
      <c r="L25" s="25">
        <v>1836.2995605468748</v>
      </c>
      <c r="M25" s="18">
        <f t="shared" si="0"/>
        <v>0.15781813401442277</v>
      </c>
      <c r="N25" s="3"/>
      <c r="O25" s="10"/>
      <c r="V25" s="9"/>
      <c r="W25" s="2"/>
    </row>
    <row r="26" spans="9:23" x14ac:dyDescent="0.25">
      <c r="K26" s="16">
        <v>2021</v>
      </c>
      <c r="L26" s="25">
        <v>1937.4999999999998</v>
      </c>
      <c r="M26" s="18">
        <f t="shared" si="0"/>
        <v>5.5111073175329928E-2</v>
      </c>
      <c r="N26" s="3"/>
      <c r="O26" s="10"/>
      <c r="V26" s="9"/>
      <c r="W26" s="2"/>
    </row>
    <row r="27" spans="9:23" x14ac:dyDescent="0.25">
      <c r="K27" s="16">
        <v>2022</v>
      </c>
      <c r="L27" s="25">
        <v>2065.7999999999997</v>
      </c>
      <c r="M27" s="18">
        <f t="shared" si="0"/>
        <v>6.6219354838709665E-2</v>
      </c>
      <c r="N27" s="3"/>
      <c r="O27" s="10"/>
      <c r="V27" s="9"/>
      <c r="W27" s="2"/>
    </row>
    <row r="28" spans="9:23" x14ac:dyDescent="0.25">
      <c r="K28" s="16">
        <v>2023</v>
      </c>
      <c r="L28" s="25">
        <v>888.09999999999991</v>
      </c>
      <c r="M28" s="18">
        <f t="shared" si="0"/>
        <v>-0.57009391034950141</v>
      </c>
      <c r="N28" s="3"/>
      <c r="O28" s="10"/>
      <c r="V28" s="9"/>
      <c r="W28" s="2"/>
    </row>
    <row r="29" spans="9:23" x14ac:dyDescent="0.25">
      <c r="K29" s="12"/>
      <c r="L29" s="19"/>
      <c r="M29" s="10"/>
      <c r="N29" s="3"/>
      <c r="O29" s="10"/>
    </row>
    <row r="30" spans="9:23" x14ac:dyDescent="0.25">
      <c r="N30" s="3"/>
      <c r="O30" s="10"/>
    </row>
    <row r="33" spans="11:31" ht="18.75" x14ac:dyDescent="0.3">
      <c r="AD33" s="54">
        <v>2020</v>
      </c>
      <c r="AE33" s="54"/>
    </row>
    <row r="34" spans="11:31" s="21" customFormat="1" x14ac:dyDescent="0.25">
      <c r="K34" s="15" t="s">
        <v>57</v>
      </c>
      <c r="L34" s="15" t="s">
        <v>249</v>
      </c>
      <c r="M34" s="22" t="s">
        <v>250</v>
      </c>
      <c r="N34" s="36" t="s">
        <v>51</v>
      </c>
      <c r="O34" s="22" t="s">
        <v>250</v>
      </c>
      <c r="P34" s="36" t="s">
        <v>52</v>
      </c>
      <c r="Q34" s="22" t="s">
        <v>250</v>
      </c>
      <c r="R34" s="36" t="s">
        <v>53</v>
      </c>
      <c r="S34" s="22" t="s">
        <v>250</v>
      </c>
      <c r="T34" s="36" t="s">
        <v>54</v>
      </c>
      <c r="U34" s="22" t="s">
        <v>250</v>
      </c>
      <c r="V34" s="36" t="s">
        <v>55</v>
      </c>
      <c r="W34" s="22" t="s">
        <v>250</v>
      </c>
      <c r="X34" s="36" t="s">
        <v>56</v>
      </c>
      <c r="Y34" s="22" t="s">
        <v>250</v>
      </c>
      <c r="Z34" s="36" t="s">
        <v>251</v>
      </c>
      <c r="AA34" s="22" t="s">
        <v>250</v>
      </c>
      <c r="AD34" s="49" t="s">
        <v>252</v>
      </c>
      <c r="AE34" s="50" t="s">
        <v>250</v>
      </c>
    </row>
    <row r="35" spans="11:31" x14ac:dyDescent="0.25">
      <c r="K35" s="51">
        <v>2017</v>
      </c>
      <c r="L35" s="44">
        <f>SUMIFS('CIP-Main data'!$AG$1:$AG$373,'CIP-Main data'!$B$1:$B$373,'Ana-2'!$K35)</f>
        <v>63105.699999999983</v>
      </c>
      <c r="M35" s="17"/>
      <c r="N35" s="44">
        <f>SUMIFS('CIP-Main data'!$AH$1:$AH$373,'CIP-Main data'!$B$1:$B$373,'Ana-2'!$K35)</f>
        <v>5356.2000000000007</v>
      </c>
      <c r="O35" s="17"/>
      <c r="P35" s="44">
        <f>SUMIFS('CIP-Main data'!$AI$1:$AI$373,'CIP-Main data'!$B$1:$B$373,'Ana-2'!$K35)</f>
        <v>9726.2999999999993</v>
      </c>
      <c r="Q35" s="17"/>
      <c r="R35" s="44">
        <f>SUMIFS('CIP-Main data'!$AK$1:$AK$373,'CIP-Main data'!$B$1:$B$373,'Ana-2'!$K35)</f>
        <v>4641.8</v>
      </c>
      <c r="S35" s="17"/>
      <c r="T35" s="44">
        <f>SUMIFS('CIP-Main data'!$AL$1:$AL$373,'CIP-Main data'!$B$1:$B$373,'Ana-2'!$K35)</f>
        <v>4227.5</v>
      </c>
      <c r="U35" s="17"/>
      <c r="V35" s="44">
        <f>SUMIFS('CIP-Main data'!$AM$1:$AM$373,'CIP-Main data'!$B$1:$B$373,'Ana-2'!$K35)</f>
        <v>4566.1000000000004</v>
      </c>
      <c r="W35" s="17"/>
      <c r="X35" s="44">
        <f>SUMIFS('CIP-Main data'!$AN$1:$AN$373,'CIP-Main data'!$B$1:$B$373,'Ana-2'!$K35)</f>
        <v>4902.7000000000007</v>
      </c>
      <c r="Y35" s="17"/>
      <c r="Z35" s="25">
        <f>SUMIFS('CIP-Main data'!$AJ$1:$AJ$373,'CIP-Main data'!$B$1:$B$373,'Ana-2'!$K35)</f>
        <v>23215.600000000006</v>
      </c>
      <c r="AA35" s="17"/>
      <c r="AD35" s="23" t="s">
        <v>50</v>
      </c>
      <c r="AE35" s="18">
        <v>0.1921605018923444</v>
      </c>
    </row>
    <row r="36" spans="11:31" x14ac:dyDescent="0.25">
      <c r="K36" s="51">
        <v>2018</v>
      </c>
      <c r="L36" s="25">
        <v>63691.499999999993</v>
      </c>
      <c r="M36" s="18">
        <f>(L36-L35)/L35</f>
        <v>9.2828381588352608E-3</v>
      </c>
      <c r="N36" s="25">
        <v>5725.3</v>
      </c>
      <c r="O36" s="18">
        <f>(N36-N35)/N35</f>
        <v>6.8910794966580674E-2</v>
      </c>
      <c r="P36" s="25">
        <v>10161.000000000004</v>
      </c>
      <c r="Q36" s="18">
        <f>(P36-P35)/P35</f>
        <v>4.4693254372166639E-2</v>
      </c>
      <c r="R36" s="25">
        <v>4932.2</v>
      </c>
      <c r="S36" s="18">
        <f>(R36-R35)/R35</f>
        <v>6.2561937179542337E-2</v>
      </c>
      <c r="T36" s="25">
        <v>4440.1000000000013</v>
      </c>
      <c r="U36" s="18">
        <f>(T36-T35)/T35</f>
        <v>5.028976936723862E-2</v>
      </c>
      <c r="V36" s="25">
        <v>4800.8</v>
      </c>
      <c r="W36" s="18">
        <f>(V36-V35)/V35</f>
        <v>5.14005387529839E-2</v>
      </c>
      <c r="X36" s="25">
        <v>5185.300000000002</v>
      </c>
      <c r="Y36" s="18">
        <f>(X36-X35)/X35</f>
        <v>5.7641707630489571E-2</v>
      </c>
      <c r="Z36" s="25">
        <v>24597.5</v>
      </c>
      <c r="AA36" s="18">
        <f>(Z36-Z35)/Z35</f>
        <v>5.9524629990178754E-2</v>
      </c>
      <c r="AD36" s="23" t="s">
        <v>51</v>
      </c>
      <c r="AE36" s="18">
        <v>0.18906342416350005</v>
      </c>
    </row>
    <row r="37" spans="11:31" x14ac:dyDescent="0.25">
      <c r="K37" s="51">
        <v>2019</v>
      </c>
      <c r="L37" s="25">
        <v>60559.799999999996</v>
      </c>
      <c r="M37" s="18">
        <f t="shared" ref="M37:M41" si="1">(L37-L36)/L36</f>
        <v>-4.9169826428958299E-2</v>
      </c>
      <c r="N37" s="25">
        <v>5473.6999999999989</v>
      </c>
      <c r="O37" s="18">
        <f t="shared" ref="O37:O41" si="2">(N37-N36)/N36</f>
        <v>-4.3945295443033772E-2</v>
      </c>
      <c r="P37" s="25">
        <v>9500.6999999999989</v>
      </c>
      <c r="Q37" s="18">
        <f t="shared" ref="Q37:Q41" si="3">(P37-P36)/P36</f>
        <v>-6.4983761440803506E-2</v>
      </c>
      <c r="R37" s="25">
        <v>4848.4999999999991</v>
      </c>
      <c r="S37" s="18">
        <f t="shared" ref="S37:S41" si="4">(R37-R36)/R36</f>
        <v>-1.6970114756092763E-2</v>
      </c>
      <c r="T37" s="25">
        <v>4150.9999999999991</v>
      </c>
      <c r="U37" s="18">
        <f t="shared" ref="U37:U41" si="5">(T37-T36)/T36</f>
        <v>-6.5111146145357554E-2</v>
      </c>
      <c r="V37" s="25">
        <v>4634.0000000000009</v>
      </c>
      <c r="W37" s="18">
        <f t="shared" ref="W37:W41" si="6">(V37-V36)/V36</f>
        <v>-3.4744209298450103E-2</v>
      </c>
      <c r="X37" s="25">
        <v>5073.4999999999991</v>
      </c>
      <c r="Y37" s="18">
        <f t="shared" ref="Y37:Y41" si="7">(X37-X36)/X36</f>
        <v>-2.1560951150367939E-2</v>
      </c>
      <c r="Z37" s="25">
        <v>23415.699999999997</v>
      </c>
      <c r="AA37" s="18">
        <f t="shared" ref="AA37:AA41" si="8">(Z37-Z36)/Z36</f>
        <v>-4.8045533082630466E-2</v>
      </c>
      <c r="AD37" s="23" t="s">
        <v>52</v>
      </c>
      <c r="AE37" s="18">
        <v>0.11756195328863919</v>
      </c>
    </row>
    <row r="38" spans="11:31" x14ac:dyDescent="0.25">
      <c r="K38" s="51">
        <v>2020</v>
      </c>
      <c r="L38" s="25">
        <v>72197.001562499994</v>
      </c>
      <c r="M38" s="18">
        <f t="shared" si="1"/>
        <v>0.1921605018923444</v>
      </c>
      <c r="N38" s="25">
        <v>6508.5764648437489</v>
      </c>
      <c r="O38" s="18">
        <f t="shared" si="2"/>
        <v>0.18906342416350005</v>
      </c>
      <c r="P38" s="25">
        <v>10617.620849609373</v>
      </c>
      <c r="Q38" s="18">
        <f t="shared" si="3"/>
        <v>0.11756195328863919</v>
      </c>
      <c r="R38" s="25">
        <v>5519.0656249999993</v>
      </c>
      <c r="S38" s="18">
        <f t="shared" si="4"/>
        <v>0.13830372795710019</v>
      </c>
      <c r="T38" s="25">
        <v>4918.458984375</v>
      </c>
      <c r="U38" s="18">
        <f t="shared" si="5"/>
        <v>0.18488532507227201</v>
      </c>
      <c r="V38" s="25">
        <v>5283.9948486328121</v>
      </c>
      <c r="W38" s="18">
        <f t="shared" si="6"/>
        <v>0.14026647575157772</v>
      </c>
      <c r="X38" s="25">
        <v>5673.8443603515616</v>
      </c>
      <c r="Y38" s="18">
        <f t="shared" si="7"/>
        <v>0.11832942945729036</v>
      </c>
      <c r="Z38" s="25">
        <v>26811.767333984379</v>
      </c>
      <c r="AA38" s="18">
        <f t="shared" si="8"/>
        <v>0.14503377366401099</v>
      </c>
      <c r="AD38" s="23" t="s">
        <v>53</v>
      </c>
      <c r="AE38" s="18">
        <v>0.13830372795710019</v>
      </c>
    </row>
    <row r="39" spans="11:31" x14ac:dyDescent="0.25">
      <c r="K39" s="51">
        <v>2021</v>
      </c>
      <c r="L39" s="25">
        <v>76441.900000000009</v>
      </c>
      <c r="M39" s="18">
        <f t="shared" si="1"/>
        <v>5.8796048944293924E-2</v>
      </c>
      <c r="N39" s="25">
        <v>6900.3999999999987</v>
      </c>
      <c r="O39" s="18">
        <f t="shared" si="2"/>
        <v>6.0201111145070693E-2</v>
      </c>
      <c r="P39" s="25">
        <v>11272.600000000004</v>
      </c>
      <c r="Q39" s="18">
        <f t="shared" si="3"/>
        <v>6.1687939291477693E-2</v>
      </c>
      <c r="R39" s="25">
        <v>5944.8</v>
      </c>
      <c r="S39" s="18">
        <f t="shared" si="4"/>
        <v>7.7138849929873951E-2</v>
      </c>
      <c r="T39" s="25">
        <v>5425.1999999999989</v>
      </c>
      <c r="U39" s="18">
        <f t="shared" si="5"/>
        <v>0.10302841138552092</v>
      </c>
      <c r="V39" s="25">
        <v>5614.0000000000009</v>
      </c>
      <c r="W39" s="18">
        <f t="shared" si="6"/>
        <v>6.245372314330979E-2</v>
      </c>
      <c r="X39" s="25">
        <v>5851.2999999999993</v>
      </c>
      <c r="Y39" s="18">
        <f t="shared" si="7"/>
        <v>3.1276085203973097E-2</v>
      </c>
      <c r="Z39" s="25">
        <v>28488.6</v>
      </c>
      <c r="AA39" s="18">
        <f t="shared" si="8"/>
        <v>6.2540922615354988E-2</v>
      </c>
      <c r="AD39" s="23" t="s">
        <v>54</v>
      </c>
      <c r="AE39" s="18">
        <v>0.18488532507227201</v>
      </c>
    </row>
    <row r="40" spans="11:31" x14ac:dyDescent="0.25">
      <c r="K40" s="51">
        <v>2022</v>
      </c>
      <c r="L40" s="25">
        <v>80879.000000000015</v>
      </c>
      <c r="M40" s="18">
        <f t="shared" si="1"/>
        <v>5.8045391336426819E-2</v>
      </c>
      <c r="N40" s="25">
        <v>7039.9</v>
      </c>
      <c r="O40" s="18">
        <f t="shared" si="2"/>
        <v>2.0216219349603055E-2</v>
      </c>
      <c r="P40" s="25">
        <v>12432.300000000003</v>
      </c>
      <c r="Q40" s="18">
        <f t="shared" si="3"/>
        <v>0.10287777442648532</v>
      </c>
      <c r="R40" s="25">
        <v>6312.7000000000007</v>
      </c>
      <c r="S40" s="18">
        <f t="shared" si="4"/>
        <v>6.1886018032566367E-2</v>
      </c>
      <c r="T40" s="25">
        <v>5804.6999999999989</v>
      </c>
      <c r="U40" s="18">
        <f t="shared" si="5"/>
        <v>6.9951338199513394E-2</v>
      </c>
      <c r="V40" s="25">
        <v>5972.4000000000015</v>
      </c>
      <c r="W40" s="18">
        <f t="shared" si="6"/>
        <v>6.3840399002493858E-2</v>
      </c>
      <c r="X40" s="25">
        <v>6127.0999999999995</v>
      </c>
      <c r="Y40" s="18">
        <f t="shared" si="7"/>
        <v>4.7134824739801448E-2</v>
      </c>
      <c r="Z40" s="25">
        <v>30485.5</v>
      </c>
      <c r="AA40" s="18">
        <f t="shared" si="8"/>
        <v>7.0094704548486111E-2</v>
      </c>
      <c r="AD40" s="23" t="s">
        <v>55</v>
      </c>
      <c r="AE40" s="18">
        <v>0.14026647575157772</v>
      </c>
    </row>
    <row r="41" spans="11:31" x14ac:dyDescent="0.25">
      <c r="K41" s="51">
        <v>2023</v>
      </c>
      <c r="L41" s="25">
        <v>34396.700000000004</v>
      </c>
      <c r="M41" s="18">
        <f t="shared" si="1"/>
        <v>-0.57471407905636818</v>
      </c>
      <c r="N41" s="25">
        <v>3006.5</v>
      </c>
      <c r="O41" s="18">
        <f t="shared" si="2"/>
        <v>-0.57293427463458291</v>
      </c>
      <c r="P41" s="25">
        <v>5448.3</v>
      </c>
      <c r="Q41" s="18">
        <f t="shared" si="3"/>
        <v>-0.56176250573103936</v>
      </c>
      <c r="R41" s="25">
        <v>2758.5</v>
      </c>
      <c r="S41" s="18">
        <f t="shared" si="4"/>
        <v>-0.56302374578231185</v>
      </c>
      <c r="T41" s="25">
        <v>2466.2000000000003</v>
      </c>
      <c r="U41" s="18">
        <f t="shared" si="5"/>
        <v>-0.57513738866780351</v>
      </c>
      <c r="V41" s="25">
        <v>2559</v>
      </c>
      <c r="W41" s="18">
        <f t="shared" si="6"/>
        <v>-0.57152903355435014</v>
      </c>
      <c r="X41" s="25">
        <v>2638.1000000000004</v>
      </c>
      <c r="Y41" s="18">
        <f t="shared" si="7"/>
        <v>-0.56943741737526721</v>
      </c>
      <c r="Z41" s="25">
        <v>13295.699999999999</v>
      </c>
      <c r="AA41" s="18">
        <f t="shared" si="8"/>
        <v>-0.56386806842597315</v>
      </c>
      <c r="AD41" s="23" t="s">
        <v>56</v>
      </c>
      <c r="AE41" s="18">
        <v>0.11832942945729036</v>
      </c>
    </row>
    <row r="42" spans="11:31" x14ac:dyDescent="0.25">
      <c r="K42" s="45"/>
      <c r="L42" s="46">
        <f>SUM(L35:L41)</f>
        <v>451271.6015625</v>
      </c>
      <c r="M42" s="47">
        <f>SUM(M36:M41)</f>
        <v>-0.30559912515342608</v>
      </c>
      <c r="N42" s="46">
        <f>SUM(N35:N41)</f>
        <v>40010.57646484374</v>
      </c>
      <c r="O42" s="47">
        <f>SUM(O36:O41)</f>
        <v>-0.27848802045286219</v>
      </c>
      <c r="P42" s="46">
        <f>SUM(P35:P41)</f>
        <v>69158.820849609387</v>
      </c>
      <c r="Q42" s="47">
        <f>SUM(Q36:Q41)</f>
        <v>-0.29992534579307401</v>
      </c>
      <c r="R42" s="46">
        <f>SUM(R35:R41)</f>
        <v>34957.565625000003</v>
      </c>
      <c r="S42" s="47">
        <f>SUM(S36:S41)</f>
        <v>-0.24010332743932172</v>
      </c>
      <c r="T42" s="46">
        <f>SUM(T35:T41)</f>
        <v>31433.158984375001</v>
      </c>
      <c r="U42" s="47">
        <f>SUM(U36:U41)</f>
        <v>-0.23209369078861614</v>
      </c>
      <c r="V42" s="46">
        <f>SUM(V35:V41)</f>
        <v>33430.294848632817</v>
      </c>
      <c r="W42" s="47">
        <f>SUM(W36:W41)</f>
        <v>-0.28831210620243497</v>
      </c>
      <c r="X42" s="46">
        <f>SUM(X35:X41)</f>
        <v>35451.844360351563</v>
      </c>
      <c r="Y42" s="47">
        <f>SUM(Y36:Y41)</f>
        <v>-0.33661632149408066</v>
      </c>
      <c r="Z42" s="48">
        <f>SUM(Z35:Z41)</f>
        <v>170310.36733398438</v>
      </c>
      <c r="AA42" s="18">
        <f>SUM(AA36:AA41)</f>
        <v>-0.27471957069057279</v>
      </c>
      <c r="AD42" s="23" t="s">
        <v>251</v>
      </c>
      <c r="AE42" s="18">
        <v>0.14503377366401099</v>
      </c>
    </row>
  </sheetData>
  <mergeCells count="2">
    <mergeCell ref="K15:L16"/>
    <mergeCell ref="AD33:AE33"/>
  </mergeCells>
  <conditionalFormatting sqref="M19:M28">
    <cfRule type="iconSet" priority="10">
      <iconSet iconSet="3Arrows">
        <cfvo type="percent" val="0"/>
        <cfvo type="percent" val="33"/>
        <cfvo type="percent" val="67"/>
      </iconSet>
    </cfRule>
    <cfRule type="colorScale" priority="11">
      <colorScale>
        <cfvo type="min"/>
        <cfvo type="percentile" val="50"/>
        <cfvo type="max"/>
        <color rgb="FFF8696B"/>
        <color rgb="FFFFEB84"/>
        <color rgb="FF63BE7B"/>
      </colorScale>
    </cfRule>
  </conditionalFormatting>
  <conditionalFormatting sqref="M36:M41">
    <cfRule type="colorScale" priority="9">
      <colorScale>
        <cfvo type="min"/>
        <cfvo type="percentile" val="50"/>
        <cfvo type="max"/>
        <color rgb="FFF8696B"/>
        <color rgb="FFFFEB84"/>
        <color rgb="FF63BE7B"/>
      </colorScale>
    </cfRule>
  </conditionalFormatting>
  <conditionalFormatting sqref="O36:O41">
    <cfRule type="colorScale" priority="8">
      <colorScale>
        <cfvo type="min"/>
        <cfvo type="percentile" val="50"/>
        <cfvo type="max"/>
        <color rgb="FFF8696B"/>
        <color rgb="FFFFEB84"/>
        <color rgb="FF63BE7B"/>
      </colorScale>
    </cfRule>
  </conditionalFormatting>
  <conditionalFormatting sqref="Q36:Q41">
    <cfRule type="colorScale" priority="7">
      <colorScale>
        <cfvo type="min"/>
        <cfvo type="percentile" val="50"/>
        <cfvo type="max"/>
        <color rgb="FFF8696B"/>
        <color rgb="FFFFEB84"/>
        <color rgb="FF63BE7B"/>
      </colorScale>
    </cfRule>
  </conditionalFormatting>
  <conditionalFormatting sqref="S36:S41">
    <cfRule type="colorScale" priority="6">
      <colorScale>
        <cfvo type="min"/>
        <cfvo type="percentile" val="50"/>
        <cfvo type="max"/>
        <color rgb="FFF8696B"/>
        <color rgb="FFFFEB84"/>
        <color rgb="FF63BE7B"/>
      </colorScale>
    </cfRule>
  </conditionalFormatting>
  <conditionalFormatting sqref="U36:U41">
    <cfRule type="colorScale" priority="5">
      <colorScale>
        <cfvo type="min"/>
        <cfvo type="percentile" val="50"/>
        <cfvo type="max"/>
        <color rgb="FFF8696B"/>
        <color rgb="FFFFEB84"/>
        <color rgb="FF63BE7B"/>
      </colorScale>
    </cfRule>
  </conditionalFormatting>
  <conditionalFormatting sqref="W36:W42">
    <cfRule type="colorScale" priority="4">
      <colorScale>
        <cfvo type="min"/>
        <cfvo type="percentile" val="50"/>
        <cfvo type="max"/>
        <color rgb="FFF8696B"/>
        <color rgb="FFFFEB84"/>
        <color rgb="FF63BE7B"/>
      </colorScale>
    </cfRule>
  </conditionalFormatting>
  <conditionalFormatting sqref="Y36:Y41">
    <cfRule type="colorScale" priority="3">
      <colorScale>
        <cfvo type="min"/>
        <cfvo type="percentile" val="50"/>
        <cfvo type="max"/>
        <color rgb="FFF8696B"/>
        <color rgb="FFFFEB84"/>
        <color rgb="FF63BE7B"/>
      </colorScale>
    </cfRule>
  </conditionalFormatting>
  <conditionalFormatting sqref="AA36:AA41">
    <cfRule type="colorScale" priority="2">
      <colorScale>
        <cfvo type="min"/>
        <cfvo type="percentile" val="50"/>
        <cfvo type="max"/>
        <color rgb="FFF8696B"/>
        <color rgb="FFFFEB84"/>
        <color rgb="FF63BE7B"/>
      </colorScale>
    </cfRule>
  </conditionalFormatting>
  <conditionalFormatting sqref="AE35:AE42">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AS399"/>
  <sheetViews>
    <sheetView topLeftCell="AR1" workbookViewId="0">
      <selection activeCell="BB14" sqref="BB14"/>
    </sheetView>
  </sheetViews>
  <sheetFormatPr defaultRowHeight="15" x14ac:dyDescent="0.25"/>
  <cols>
    <col min="1" max="1" width="15.42578125" bestFit="1" customWidth="1"/>
    <col min="2" max="2" width="20.28515625" bestFit="1" customWidth="1"/>
    <col min="4" max="4" width="15.42578125" bestFit="1" customWidth="1"/>
    <col min="5" max="5" width="26.5703125" bestFit="1" customWidth="1"/>
    <col min="6" max="6" width="8.5703125" customWidth="1"/>
    <col min="7" max="7" width="9.85546875" customWidth="1"/>
    <col min="8" max="8" width="30.140625" bestFit="1" customWidth="1"/>
    <col min="9" max="9" width="13.28515625" bestFit="1" customWidth="1"/>
    <col min="10" max="10" width="29.85546875" bestFit="1" customWidth="1"/>
    <col min="11" max="11" width="25.85546875" bestFit="1" customWidth="1"/>
    <col min="12" max="12" width="15.42578125" bestFit="1" customWidth="1"/>
    <col min="13" max="13" width="26.5703125" bestFit="1" customWidth="1"/>
    <col min="14" max="14" width="25.85546875" bestFit="1" customWidth="1"/>
    <col min="15" max="15" width="40.140625" bestFit="1" customWidth="1"/>
    <col min="16" max="16" width="30.140625" bestFit="1" customWidth="1"/>
    <col min="17" max="17" width="40.140625" bestFit="1" customWidth="1"/>
    <col min="18" max="18" width="29.85546875" bestFit="1" customWidth="1"/>
    <col min="19" max="19" width="25.7109375" bestFit="1" customWidth="1"/>
    <col min="20" max="20" width="17.85546875" bestFit="1" customWidth="1"/>
    <col min="21" max="21" width="12.5703125" bestFit="1" customWidth="1"/>
    <col min="22" max="22" width="18.7109375" bestFit="1" customWidth="1"/>
    <col min="23" max="23" width="23.85546875" bestFit="1" customWidth="1"/>
    <col min="24" max="24" width="10.5703125" bestFit="1" customWidth="1"/>
    <col min="25" max="25" width="20" bestFit="1" customWidth="1"/>
    <col min="27" max="27" width="17.85546875" bestFit="1" customWidth="1"/>
    <col min="29" max="29" width="12.5703125" bestFit="1" customWidth="1"/>
    <col min="31" max="31" width="18.7109375" bestFit="1" customWidth="1"/>
    <col min="33" max="33" width="23.85546875" bestFit="1" customWidth="1"/>
    <col min="35" max="35" width="10.5703125" bestFit="1" customWidth="1"/>
    <col min="37" max="37" width="20" bestFit="1" customWidth="1"/>
    <col min="38" max="38" width="14" bestFit="1" customWidth="1"/>
    <col min="44" max="44" width="33.28515625" bestFit="1" customWidth="1"/>
  </cols>
  <sheetData>
    <row r="3" spans="4:45" x14ac:dyDescent="0.25">
      <c r="L3" s="17"/>
      <c r="M3" s="27" t="s">
        <v>3</v>
      </c>
      <c r="N3" s="20" t="s">
        <v>108</v>
      </c>
      <c r="O3" s="26" t="s">
        <v>102</v>
      </c>
      <c r="P3" s="20" t="s">
        <v>108</v>
      </c>
      <c r="Q3" s="26" t="s">
        <v>101</v>
      </c>
      <c r="R3" s="20" t="s">
        <v>108</v>
      </c>
      <c r="S3" s="26" t="s">
        <v>100</v>
      </c>
      <c r="T3" s="20" t="s">
        <v>108</v>
      </c>
      <c r="U3" s="26" t="s">
        <v>99</v>
      </c>
      <c r="V3" s="20" t="s">
        <v>108</v>
      </c>
      <c r="W3" s="26" t="s">
        <v>98</v>
      </c>
      <c r="X3" s="20" t="s">
        <v>108</v>
      </c>
      <c r="Y3" s="26" t="s">
        <v>97</v>
      </c>
      <c r="Z3" s="20" t="s">
        <v>108</v>
      </c>
      <c r="AA3" s="26" t="s">
        <v>96</v>
      </c>
      <c r="AB3" s="20" t="s">
        <v>108</v>
      </c>
      <c r="AC3" s="26" t="s">
        <v>95</v>
      </c>
      <c r="AD3" s="20" t="s">
        <v>108</v>
      </c>
      <c r="AE3" s="26" t="s">
        <v>94</v>
      </c>
      <c r="AF3" s="20" t="s">
        <v>108</v>
      </c>
      <c r="AG3" s="26" t="s">
        <v>93</v>
      </c>
      <c r="AH3" s="20" t="s">
        <v>108</v>
      </c>
      <c r="AI3" s="26" t="s">
        <v>92</v>
      </c>
      <c r="AJ3" s="20" t="s">
        <v>108</v>
      </c>
      <c r="AK3" s="26" t="s">
        <v>91</v>
      </c>
      <c r="AL3" s="20" t="s">
        <v>108</v>
      </c>
      <c r="AR3" s="55" t="s">
        <v>103</v>
      </c>
      <c r="AS3" s="55"/>
    </row>
    <row r="4" spans="4:45" x14ac:dyDescent="0.25">
      <c r="L4" s="17" t="s">
        <v>79</v>
      </c>
      <c r="M4" s="28">
        <f>SUMIFS('CIP-Main data'!$E$1:$E$373,'CIP-Main data'!$D$1:$D$373,'Ana-3'!$L4)</f>
        <v>466.3</v>
      </c>
      <c r="N4" s="17"/>
      <c r="O4" s="28">
        <f>SUMIFS('CIP-Main data'!$Q$1:$Q$373,'CIP-Main data'!$D$1:$D$373,'Ana-3'!$L4)</f>
        <v>526.6</v>
      </c>
      <c r="P4" s="17"/>
      <c r="Q4" s="28">
        <f>SUMIFS('CIP-Main data'!$P$1:$P$373,'CIP-Main data'!$D$1:$D$373,'Ana-3'!$L4)</f>
        <v>552.1</v>
      </c>
      <c r="R4" s="17"/>
      <c r="S4" s="28">
        <f>SUMIFS('CIP-Main data'!$O$1:$O$373,'CIP-Main data'!$D$1:$D$373,'Ana-3'!$L4)</f>
        <v>501.19999999999993</v>
      </c>
      <c r="T4" s="17"/>
      <c r="U4" s="28">
        <f>SUMIFS('CIP-Main data'!$N$1:$N$373,'CIP-Main data'!$D$1:$D$373,'Ana-3'!$L4)</f>
        <v>559.5</v>
      </c>
      <c r="V4" s="17"/>
      <c r="W4" s="28">
        <f>SUMIFS('CIP-Main data'!$M$1:$M$373,'CIP-Main data'!$D$1:$D$373,'Ana-3'!$L4)</f>
        <v>360.4</v>
      </c>
      <c r="X4" s="17"/>
      <c r="Y4" s="28">
        <f>SUMIFS('CIP-Main data'!$L$1:$L$373,'CIP-Main data'!$D$1:$D$373,'Ana-3'!$L4)</f>
        <v>492.5</v>
      </c>
      <c r="Z4" s="17"/>
      <c r="AA4" s="28">
        <f>SUMIFS('CIP-Main data'!$K$1:$K$373,'CIP-Main data'!$D$1:$D$373,'Ana-3'!$L4)</f>
        <v>561.1</v>
      </c>
      <c r="AB4" s="17"/>
      <c r="AC4" s="28">
        <f>SUMIFS('CIP-Main data'!$J$1:$J$373,'CIP-Main data'!$D$1:$D$373,'Ana-3'!$L4)</f>
        <v>509.59999999999997</v>
      </c>
      <c r="AD4" s="17"/>
      <c r="AE4" s="28">
        <f>SUMIFS('CIP-Main data'!$I$1:$I$373,'CIP-Main data'!$D$1:$D$373,'Ana-3'!$L4)</f>
        <v>597.6</v>
      </c>
      <c r="AF4" s="17"/>
      <c r="AG4" s="28">
        <f>SUMIFS('CIP-Main data'!$H$1:$H$373,'CIP-Main data'!$D$1:$D$373,'Ana-3'!$L4)</f>
        <v>497.6</v>
      </c>
      <c r="AH4" s="17"/>
      <c r="AI4" s="28">
        <f>SUMIFS('CIP-Main data'!$G$1:$G$373,'CIP-Main data'!$D$1:$D$373,'Ana-3'!$L4)</f>
        <v>513.20000000000005</v>
      </c>
      <c r="AJ4" s="17"/>
      <c r="AK4" s="28">
        <f>SUMIFS('CIP-Main data'!$F$1:$F$373,'CIP-Main data'!$D$1:$D$373,'Ana-3'!$L4)</f>
        <v>660</v>
      </c>
      <c r="AL4" s="17"/>
      <c r="AR4" s="23" t="s">
        <v>3</v>
      </c>
      <c r="AS4" s="18">
        <v>0.11309708746930035</v>
      </c>
    </row>
    <row r="5" spans="4:45" x14ac:dyDescent="0.25">
      <c r="D5" s="24" t="s">
        <v>89</v>
      </c>
      <c r="E5" s="24" t="s">
        <v>50</v>
      </c>
      <c r="F5" s="24" t="s">
        <v>73</v>
      </c>
      <c r="L5" s="17" t="s">
        <v>78</v>
      </c>
      <c r="M5" s="17">
        <v>471</v>
      </c>
      <c r="N5" s="18">
        <f>(M5-M4)/M4</f>
        <v>1.0079348059189338E-2</v>
      </c>
      <c r="O5" s="17">
        <v>526.9</v>
      </c>
      <c r="P5" s="18">
        <f>(O5-O4)/O4</f>
        <v>5.6969236612220754E-4</v>
      </c>
      <c r="Q5" s="17">
        <v>556</v>
      </c>
      <c r="R5" s="18">
        <f>(Q5-Q4)/Q4</f>
        <v>7.0639376924469793E-3</v>
      </c>
      <c r="S5" s="17">
        <v>502.70000000000005</v>
      </c>
      <c r="T5" s="18">
        <f>(S5-S4)/S4</f>
        <v>2.9928172386275219E-3</v>
      </c>
      <c r="U5" s="17">
        <v>568.1</v>
      </c>
      <c r="V5" s="18">
        <f>(U5-U4)/U4</f>
        <v>1.5370866845397717E-2</v>
      </c>
      <c r="W5" s="17">
        <v>360.7</v>
      </c>
      <c r="X5" s="18">
        <f>(W5-W4)/W4</f>
        <v>8.3240843507217368E-4</v>
      </c>
      <c r="Y5" s="17">
        <v>492.7</v>
      </c>
      <c r="Z5" s="18">
        <f>(Y5-Y4)/Y4</f>
        <v>4.0609137055835253E-4</v>
      </c>
      <c r="AA5" s="17">
        <v>559.20000000000005</v>
      </c>
      <c r="AB5" s="18">
        <f>(AA5-AA4)/AA4</f>
        <v>-3.3862056674389186E-3</v>
      </c>
      <c r="AC5" s="17">
        <v>523.29999999999995</v>
      </c>
      <c r="AD5" s="18">
        <f>(AC5-AC4)/AC4</f>
        <v>2.6883830455259005E-2</v>
      </c>
      <c r="AE5" s="17">
        <v>582.79999999999995</v>
      </c>
      <c r="AF5" s="18">
        <f>(AE5-AE4)/AE4</f>
        <v>-2.4765729585006807E-2</v>
      </c>
      <c r="AG5" s="17">
        <v>500</v>
      </c>
      <c r="AH5" s="18">
        <f>(AG5-AG4)/AG4</f>
        <v>4.8231511254018837E-3</v>
      </c>
      <c r="AI5" s="17">
        <v>526.09999999999991</v>
      </c>
      <c r="AJ5" s="18">
        <f>(AI5-AI4)/AI4</f>
        <v>2.513639906469186E-2</v>
      </c>
      <c r="AK5" s="17">
        <v>640.9</v>
      </c>
      <c r="AL5" s="18">
        <f>(AK5-AK4)/AK4</f>
        <v>-2.8939393939393973E-2</v>
      </c>
      <c r="AR5" s="23" t="s">
        <v>4</v>
      </c>
      <c r="AS5" s="18">
        <v>-2.1180872862463635E-2</v>
      </c>
    </row>
    <row r="6" spans="4:45" x14ac:dyDescent="0.25">
      <c r="D6" s="17" t="s">
        <v>79</v>
      </c>
      <c r="E6" s="30">
        <f>SUMIFS('CIP-Main data'!$AG$1:$AG$373,'CIP-Main data'!$D$1:$D$373,'Ana-3'!$D6)</f>
        <v>6797.7000000000007</v>
      </c>
      <c r="F6" s="17"/>
      <c r="L6" s="17" t="s">
        <v>76</v>
      </c>
      <c r="M6" s="17">
        <v>481.90000000000003</v>
      </c>
      <c r="N6" s="18">
        <v>2.3142250530785634E-2</v>
      </c>
      <c r="O6" s="17">
        <v>530.6</v>
      </c>
      <c r="P6" s="18">
        <v>7.0222053520593011E-3</v>
      </c>
      <c r="Q6" s="17">
        <v>559.20000000000005</v>
      </c>
      <c r="R6" s="18">
        <v>5.7553956834533191E-3</v>
      </c>
      <c r="S6" s="17">
        <v>504.1</v>
      </c>
      <c r="T6" s="18">
        <v>2.7849612094688228E-3</v>
      </c>
      <c r="U6" s="17">
        <v>578.9</v>
      </c>
      <c r="V6" s="18">
        <v>1.9010737546206573E-2</v>
      </c>
      <c r="W6" s="17">
        <v>363.3</v>
      </c>
      <c r="X6" s="18">
        <v>7.2082062655947406E-3</v>
      </c>
      <c r="Y6" s="17">
        <v>501.59999999999997</v>
      </c>
      <c r="Z6" s="18">
        <v>1.8063730464785828E-2</v>
      </c>
      <c r="AA6" s="17">
        <v>572.9</v>
      </c>
      <c r="AB6" s="18">
        <v>2.4499284692417616E-2</v>
      </c>
      <c r="AC6" s="17">
        <v>519.19999999999993</v>
      </c>
      <c r="AD6" s="18">
        <v>-7.8348939422893619E-3</v>
      </c>
      <c r="AE6" s="17">
        <v>573</v>
      </c>
      <c r="AF6" s="18">
        <v>-1.681537405627995E-2</v>
      </c>
      <c r="AG6" s="17">
        <v>504.4</v>
      </c>
      <c r="AH6" s="18">
        <v>8.7999999999999537E-3</v>
      </c>
      <c r="AI6" s="17">
        <v>508.09999999999997</v>
      </c>
      <c r="AJ6" s="18">
        <v>-3.4214027751377961E-2</v>
      </c>
      <c r="AK6" s="17">
        <v>621.5</v>
      </c>
      <c r="AL6" s="18">
        <v>-3.0269932906849709E-2</v>
      </c>
      <c r="AR6" s="23" t="s">
        <v>5</v>
      </c>
      <c r="AS6" s="18">
        <v>2.5085116490250935E-2</v>
      </c>
    </row>
    <row r="7" spans="4:45" x14ac:dyDescent="0.25">
      <c r="D7" s="17" t="s">
        <v>78</v>
      </c>
      <c r="E7" s="17">
        <v>6810.4000000000005</v>
      </c>
      <c r="F7" s="18">
        <f>(E7-E6)/E6</f>
        <v>1.8682789767126846E-3</v>
      </c>
      <c r="L7" s="17" t="s">
        <v>83</v>
      </c>
      <c r="M7" s="17">
        <v>491.3</v>
      </c>
      <c r="N7" s="18">
        <v>1.9506121601992065E-2</v>
      </c>
      <c r="O7" s="17">
        <v>535.1</v>
      </c>
      <c r="P7" s="18">
        <v>8.4809649453448915E-3</v>
      </c>
      <c r="Q7" s="17">
        <v>562.6</v>
      </c>
      <c r="R7" s="18">
        <v>6.0801144492131209E-3</v>
      </c>
      <c r="S7" s="17">
        <v>505.9</v>
      </c>
      <c r="T7" s="18">
        <v>3.570720095219112E-3</v>
      </c>
      <c r="U7" s="17">
        <v>590</v>
      </c>
      <c r="V7" s="18">
        <v>1.9174296078770123E-2</v>
      </c>
      <c r="W7" s="17">
        <v>365.5</v>
      </c>
      <c r="X7" s="18">
        <v>6.0556014313239434E-3</v>
      </c>
      <c r="Y7" s="17">
        <v>507.29999999999995</v>
      </c>
      <c r="Z7" s="18">
        <v>1.1363636363636341E-2</v>
      </c>
      <c r="AA7" s="17">
        <v>589.5</v>
      </c>
      <c r="AB7" s="18">
        <v>2.8975388374934585E-2</v>
      </c>
      <c r="AC7" s="17">
        <v>497.3</v>
      </c>
      <c r="AD7" s="18">
        <v>-4.218027734976873E-2</v>
      </c>
      <c r="AE7" s="17">
        <v>562.09999999999991</v>
      </c>
      <c r="AF7" s="18">
        <v>-1.9022687609075203E-2</v>
      </c>
      <c r="AG7" s="17">
        <v>509.3</v>
      </c>
      <c r="AH7" s="18">
        <v>9.7145122918319473E-3</v>
      </c>
      <c r="AI7" s="17">
        <v>509.59999999999997</v>
      </c>
      <c r="AJ7" s="18">
        <v>2.9521747687463098E-3</v>
      </c>
      <c r="AK7" s="17">
        <v>629.59999999999991</v>
      </c>
      <c r="AL7" s="18">
        <v>1.3032984714400498E-2</v>
      </c>
      <c r="AR7" s="23" t="s">
        <v>6</v>
      </c>
      <c r="AS7" s="18">
        <v>7.9344721583903544E-2</v>
      </c>
    </row>
    <row r="8" spans="4:45" x14ac:dyDescent="0.25">
      <c r="D8" s="17" t="s">
        <v>76</v>
      </c>
      <c r="E8" s="17">
        <v>6818.7000000000007</v>
      </c>
      <c r="F8" s="18">
        <f t="shared" ref="F8:F17" si="0">(E8-E7)/E7</f>
        <v>1.2187243040056651E-3</v>
      </c>
      <c r="L8" s="17" t="s">
        <v>82</v>
      </c>
      <c r="M8" s="17">
        <v>496.3</v>
      </c>
      <c r="N8" s="18">
        <v>1.0177081213108081E-2</v>
      </c>
      <c r="O8" s="17">
        <v>540.30000000000007</v>
      </c>
      <c r="P8" s="18">
        <v>9.7178097551860309E-3</v>
      </c>
      <c r="Q8" s="17">
        <v>565.40000000000009</v>
      </c>
      <c r="R8" s="18">
        <v>4.9768929968006899E-3</v>
      </c>
      <c r="S8" s="17">
        <v>507.29999999999995</v>
      </c>
      <c r="T8" s="18">
        <v>2.7673453251630311E-3</v>
      </c>
      <c r="U8" s="17">
        <v>597.9</v>
      </c>
      <c r="V8" s="18">
        <v>1.3389830508474537E-2</v>
      </c>
      <c r="W8" s="17">
        <v>366.4</v>
      </c>
      <c r="X8" s="18">
        <v>2.4623803009575303E-3</v>
      </c>
      <c r="Y8" s="17">
        <v>509.40000000000003</v>
      </c>
      <c r="Z8" s="18">
        <v>4.139562389119022E-3</v>
      </c>
      <c r="AA8" s="17">
        <v>613.09999999999991</v>
      </c>
      <c r="AB8" s="18">
        <v>4.0033927056827665E-2</v>
      </c>
      <c r="AC8" s="17">
        <v>491.7</v>
      </c>
      <c r="AD8" s="18">
        <v>-1.1260808365171973E-2</v>
      </c>
      <c r="AE8" s="17">
        <v>555.79999999999995</v>
      </c>
      <c r="AF8" s="18">
        <v>-1.1207970112079623E-2</v>
      </c>
      <c r="AG8" s="17">
        <v>512.79999999999995</v>
      </c>
      <c r="AH8" s="18">
        <v>6.8721774985272786E-3</v>
      </c>
      <c r="AI8" s="17">
        <v>513.1</v>
      </c>
      <c r="AJ8" s="18">
        <v>6.8681318681319799E-3</v>
      </c>
      <c r="AK8" s="17">
        <v>634.6</v>
      </c>
      <c r="AL8" s="18">
        <v>7.9415501905973854E-3</v>
      </c>
      <c r="AR8" s="23" t="s">
        <v>7</v>
      </c>
      <c r="AS8" s="18">
        <v>-0.16068757659060465</v>
      </c>
    </row>
    <row r="9" spans="4:45" x14ac:dyDescent="0.25">
      <c r="D9" s="17" t="s">
        <v>83</v>
      </c>
      <c r="E9" s="17">
        <v>6855.1</v>
      </c>
      <c r="F9" s="18">
        <f t="shared" si="0"/>
        <v>5.3382609588337416E-3</v>
      </c>
      <c r="L9" s="17" t="s">
        <v>81</v>
      </c>
      <c r="M9" s="17">
        <v>502.70000000000005</v>
      </c>
      <c r="N9" s="18">
        <v>1.2895426153536236E-2</v>
      </c>
      <c r="O9" s="17">
        <v>536.20000000000005</v>
      </c>
      <c r="P9" s="18">
        <v>-7.5883768276883623E-3</v>
      </c>
      <c r="Q9" s="17">
        <v>568.79999999999995</v>
      </c>
      <c r="R9" s="18">
        <v>6.0134418111069381E-3</v>
      </c>
      <c r="S9" s="17">
        <v>508.9</v>
      </c>
      <c r="T9" s="18">
        <v>3.1539522964715611E-3</v>
      </c>
      <c r="U9" s="17">
        <v>606.40000000000009</v>
      </c>
      <c r="V9" s="18">
        <v>1.4216424151196044E-2</v>
      </c>
      <c r="W9" s="17">
        <v>367</v>
      </c>
      <c r="X9" s="18">
        <v>1.6375545851529006E-3</v>
      </c>
      <c r="Y9" s="17">
        <v>511.7</v>
      </c>
      <c r="Z9" s="18">
        <v>4.5151158225362276E-3</v>
      </c>
      <c r="AA9" s="17">
        <v>560.20000000000005</v>
      </c>
      <c r="AB9" s="18">
        <v>-8.6282824987766876E-2</v>
      </c>
      <c r="AC9" s="17">
        <v>482.4</v>
      </c>
      <c r="AD9" s="18">
        <v>-1.8913971934106186E-2</v>
      </c>
      <c r="AE9" s="17">
        <v>562.9</v>
      </c>
      <c r="AF9" s="18">
        <v>1.2774379273119869E-2</v>
      </c>
      <c r="AG9" s="17">
        <v>516.90000000000009</v>
      </c>
      <c r="AH9" s="18">
        <v>7.9953198127927783E-3</v>
      </c>
      <c r="AI9" s="17">
        <v>544.79999999999995</v>
      </c>
      <c r="AJ9" s="18">
        <v>6.1781329175599163E-2</v>
      </c>
      <c r="AK9" s="17">
        <v>630</v>
      </c>
      <c r="AL9" s="18">
        <v>-7.248660573589698E-3</v>
      </c>
      <c r="AR9" s="23" t="s">
        <v>8</v>
      </c>
      <c r="AS9" s="18">
        <v>1.9566579588782947E-2</v>
      </c>
    </row>
    <row r="10" spans="4:45" x14ac:dyDescent="0.25">
      <c r="D10" s="17" t="s">
        <v>82</v>
      </c>
      <c r="E10" s="17">
        <v>6904.1</v>
      </c>
      <c r="F10" s="18">
        <f t="shared" si="0"/>
        <v>7.1479628305932807E-3</v>
      </c>
      <c r="L10" s="17" t="s">
        <v>77</v>
      </c>
      <c r="M10" s="17">
        <v>508.2</v>
      </c>
      <c r="N10" s="18">
        <v>1.094091903719901E-2</v>
      </c>
      <c r="O10" s="17">
        <v>528.9</v>
      </c>
      <c r="P10" s="18">
        <v>-1.3614323013800946E-2</v>
      </c>
      <c r="Q10" s="17">
        <v>571.29999999999995</v>
      </c>
      <c r="R10" s="18">
        <v>4.3952180028129402E-3</v>
      </c>
      <c r="S10" s="17">
        <v>510.6</v>
      </c>
      <c r="T10" s="18">
        <v>3.3405384161918758E-3</v>
      </c>
      <c r="U10" s="17">
        <v>613.20000000000005</v>
      </c>
      <c r="V10" s="18">
        <v>1.1213720316622615E-2</v>
      </c>
      <c r="W10" s="17">
        <v>366.1</v>
      </c>
      <c r="X10" s="18">
        <v>-2.4523160762942161E-3</v>
      </c>
      <c r="Y10" s="17">
        <v>512.6</v>
      </c>
      <c r="Z10" s="18">
        <v>1.7588430721126327E-3</v>
      </c>
      <c r="AA10" s="17">
        <v>488.79999999999995</v>
      </c>
      <c r="AB10" s="18">
        <v>-0.12745448054266348</v>
      </c>
      <c r="AC10" s="17">
        <v>474.2</v>
      </c>
      <c r="AD10" s="18">
        <v>-1.6998341625207275E-2</v>
      </c>
      <c r="AE10" s="17">
        <v>561.5</v>
      </c>
      <c r="AF10" s="18">
        <v>-2.4871202700301603E-3</v>
      </c>
      <c r="AG10" s="17">
        <v>520.9</v>
      </c>
      <c r="AH10" s="18">
        <v>7.7384407041978824E-3</v>
      </c>
      <c r="AI10" s="17">
        <v>571.20000000000005</v>
      </c>
      <c r="AJ10" s="18">
        <v>4.8458149779735851E-2</v>
      </c>
      <c r="AK10" s="17">
        <v>628.79999999999995</v>
      </c>
      <c r="AL10" s="18">
        <v>-1.904761904761977E-3</v>
      </c>
      <c r="AR10" s="23" t="s">
        <v>9</v>
      </c>
      <c r="AS10" s="18">
        <v>-0.11025198453134809</v>
      </c>
    </row>
    <row r="11" spans="4:45" x14ac:dyDescent="0.25">
      <c r="D11" s="17" t="s">
        <v>81</v>
      </c>
      <c r="E11" s="17">
        <v>6898.9000000000005</v>
      </c>
      <c r="F11" s="18">
        <f t="shared" si="0"/>
        <v>-7.5317564925186746E-4</v>
      </c>
      <c r="L11" s="17" t="s">
        <v>104</v>
      </c>
      <c r="M11" s="17">
        <v>521.1</v>
      </c>
      <c r="N11" s="18">
        <v>2.5383707201889087E-2</v>
      </c>
      <c r="O11" s="17">
        <v>531.20000000000005</v>
      </c>
      <c r="P11" s="18">
        <v>4.3486481376442962E-3</v>
      </c>
      <c r="Q11" s="17">
        <v>574</v>
      </c>
      <c r="R11" s="18">
        <v>4.7260633642570377E-3</v>
      </c>
      <c r="S11" s="17">
        <v>512</v>
      </c>
      <c r="T11" s="18">
        <v>2.7418723070896539E-3</v>
      </c>
      <c r="U11" s="17">
        <v>623.20000000000005</v>
      </c>
      <c r="V11" s="18">
        <v>1.6307893020221786E-2</v>
      </c>
      <c r="W11" s="17">
        <v>364.1</v>
      </c>
      <c r="X11" s="18">
        <v>-5.4629882545752526E-3</v>
      </c>
      <c r="Y11" s="17">
        <v>512.79999999999995</v>
      </c>
      <c r="Z11" s="18">
        <v>3.9016777214188799E-4</v>
      </c>
      <c r="AA11" s="17">
        <v>472.1</v>
      </c>
      <c r="AB11" s="18">
        <v>-3.4165302782323922E-2</v>
      </c>
      <c r="AC11" s="17">
        <v>475.1</v>
      </c>
      <c r="AD11" s="18">
        <v>1.8979333614509365E-3</v>
      </c>
      <c r="AE11" s="17">
        <v>557.79999999999995</v>
      </c>
      <c r="AF11" s="18">
        <v>-6.589492430988505E-3</v>
      </c>
      <c r="AG11" s="17">
        <v>524.09999999999991</v>
      </c>
      <c r="AH11" s="18">
        <v>6.1432136686502816E-3</v>
      </c>
      <c r="AI11" s="17">
        <v>584.4</v>
      </c>
      <c r="AJ11" s="18">
        <v>2.3109243697478871E-2</v>
      </c>
      <c r="AK11" s="17">
        <v>634.20000000000005</v>
      </c>
      <c r="AL11" s="18">
        <v>8.5877862595421291E-3</v>
      </c>
      <c r="AR11" s="23" t="s">
        <v>10</v>
      </c>
      <c r="AS11" s="18">
        <v>6.8883626983179291E-2</v>
      </c>
    </row>
    <row r="12" spans="4:45" x14ac:dyDescent="0.25">
      <c r="D12" s="17" t="s">
        <v>77</v>
      </c>
      <c r="E12" s="17">
        <v>6856.2999999999993</v>
      </c>
      <c r="F12" s="18">
        <f t="shared" si="0"/>
        <v>-6.1748974474193381E-3</v>
      </c>
      <c r="G12" s="21" t="s">
        <v>107</v>
      </c>
      <c r="L12" s="17" t="s">
        <v>85</v>
      </c>
      <c r="M12" s="17">
        <v>523.29999999999995</v>
      </c>
      <c r="N12" s="18">
        <v>4.2218384187294794E-3</v>
      </c>
      <c r="O12" s="17">
        <v>532.5</v>
      </c>
      <c r="P12" s="18">
        <v>2.4472891566264202E-3</v>
      </c>
      <c r="Q12" s="17">
        <v>579.5</v>
      </c>
      <c r="R12" s="18">
        <v>9.5818815331010446E-3</v>
      </c>
      <c r="S12" s="17">
        <v>514.79999999999995</v>
      </c>
      <c r="T12" s="18">
        <v>5.4687499999999112E-3</v>
      </c>
      <c r="U12" s="17">
        <v>626.59999999999991</v>
      </c>
      <c r="V12" s="18">
        <v>5.4557124518611411E-3</v>
      </c>
      <c r="W12" s="17">
        <v>361</v>
      </c>
      <c r="X12" s="18">
        <v>-8.5141444658061588E-3</v>
      </c>
      <c r="Y12" s="17">
        <v>513.6</v>
      </c>
      <c r="Z12" s="18">
        <v>1.560062402496233E-3</v>
      </c>
      <c r="AA12" s="17">
        <v>469.40000000000003</v>
      </c>
      <c r="AB12" s="18">
        <v>-5.719127303537362E-3</v>
      </c>
      <c r="AC12" s="17">
        <v>508.79999999999995</v>
      </c>
      <c r="AD12" s="18">
        <v>7.0932435276783681E-2</v>
      </c>
      <c r="AE12" s="17">
        <v>534.90000000000009</v>
      </c>
      <c r="AF12" s="18">
        <v>-4.1054141269271899E-2</v>
      </c>
      <c r="AG12" s="17">
        <v>532.20000000000005</v>
      </c>
      <c r="AH12" s="18">
        <v>1.545506582713249E-2</v>
      </c>
      <c r="AI12" s="17">
        <v>526.29999999999995</v>
      </c>
      <c r="AJ12" s="18">
        <v>-9.9418206707734477E-2</v>
      </c>
      <c r="AK12" s="17">
        <v>625.09999999999991</v>
      </c>
      <c r="AL12" s="18">
        <v>-1.4348785871964894E-2</v>
      </c>
      <c r="AR12" s="23" t="s">
        <v>11</v>
      </c>
      <c r="AS12" s="18">
        <v>2.3257930291601128E-2</v>
      </c>
    </row>
    <row r="13" spans="4:45" x14ac:dyDescent="0.25">
      <c r="D13" s="17" t="s">
        <v>86</v>
      </c>
      <c r="E13" s="17">
        <v>6886.1</v>
      </c>
      <c r="F13" s="18">
        <f t="shared" si="0"/>
        <v>4.3463675743478395E-3</v>
      </c>
      <c r="G13" s="21"/>
      <c r="L13" s="17" t="s">
        <v>87</v>
      </c>
      <c r="M13" s="17">
        <v>523.4</v>
      </c>
      <c r="N13" s="18">
        <v>1.9109497420222196E-4</v>
      </c>
      <c r="O13" s="17">
        <v>532.6</v>
      </c>
      <c r="P13" s="18">
        <v>1.8779342723008964E-4</v>
      </c>
      <c r="Q13" s="17">
        <v>579.5</v>
      </c>
      <c r="R13" s="18">
        <v>0</v>
      </c>
      <c r="S13" s="17">
        <v>514.79999999999995</v>
      </c>
      <c r="T13" s="18">
        <v>0</v>
      </c>
      <c r="U13" s="17">
        <v>626.59999999999991</v>
      </c>
      <c r="V13" s="18">
        <v>0</v>
      </c>
      <c r="W13" s="17">
        <v>361</v>
      </c>
      <c r="X13" s="18">
        <v>0</v>
      </c>
      <c r="Y13" s="17">
        <v>513.79999999999995</v>
      </c>
      <c r="Z13" s="18">
        <v>3.8940809968834069E-4</v>
      </c>
      <c r="AA13" s="17">
        <v>469.6</v>
      </c>
      <c r="AB13" s="18">
        <v>4.2607584149976271E-4</v>
      </c>
      <c r="AC13" s="17">
        <v>508.79999999999995</v>
      </c>
      <c r="AD13" s="18">
        <v>0</v>
      </c>
      <c r="AE13" s="17">
        <v>534.70000000000005</v>
      </c>
      <c r="AF13" s="18">
        <v>-3.7390166386248912E-4</v>
      </c>
      <c r="AG13" s="17">
        <v>532.20000000000005</v>
      </c>
      <c r="AH13" s="18">
        <v>0</v>
      </c>
      <c r="AI13" s="17">
        <v>526.29999999999995</v>
      </c>
      <c r="AJ13" s="18">
        <v>0</v>
      </c>
      <c r="AK13" s="17">
        <v>625.09999999999991</v>
      </c>
      <c r="AL13" s="18">
        <v>0</v>
      </c>
      <c r="AR13" s="23" t="s">
        <v>12</v>
      </c>
      <c r="AS13" s="18">
        <v>0.15256620125282808</v>
      </c>
    </row>
    <row r="14" spans="4:45" x14ac:dyDescent="0.25">
      <c r="D14" s="17" t="s">
        <v>85</v>
      </c>
      <c r="E14" s="17">
        <v>6848</v>
      </c>
      <c r="F14" s="18">
        <f t="shared" si="0"/>
        <v>-5.5328850873499315E-3</v>
      </c>
      <c r="G14" s="21"/>
      <c r="L14" s="17" t="s">
        <v>84</v>
      </c>
      <c r="M14" s="17">
        <v>521.90000000000009</v>
      </c>
      <c r="N14" s="18">
        <v>-2.865876958349038E-3</v>
      </c>
      <c r="O14" s="17">
        <v>535.5</v>
      </c>
      <c r="P14" s="18">
        <v>5.4449868569282339E-3</v>
      </c>
      <c r="Q14" s="17">
        <v>581</v>
      </c>
      <c r="R14" s="18">
        <v>2.5884383088869713E-3</v>
      </c>
      <c r="S14" s="17">
        <v>516.6</v>
      </c>
      <c r="T14" s="18">
        <v>3.4965034965036292E-3</v>
      </c>
      <c r="U14" s="17">
        <v>636.20000000000005</v>
      </c>
      <c r="V14" s="18">
        <v>1.5320778806256204E-2</v>
      </c>
      <c r="W14" s="17">
        <v>364.8</v>
      </c>
      <c r="X14" s="18">
        <v>1.0526315789473715E-2</v>
      </c>
      <c r="Y14" s="17">
        <v>520.9</v>
      </c>
      <c r="Z14" s="18">
        <v>1.3818606461658278E-2</v>
      </c>
      <c r="AA14" s="17">
        <v>478.1</v>
      </c>
      <c r="AB14" s="18">
        <v>1.8100511073253833E-2</v>
      </c>
      <c r="AC14" s="17">
        <v>529.20000000000005</v>
      </c>
      <c r="AD14" s="18">
        <v>4.0094339622641695E-2</v>
      </c>
      <c r="AE14" s="17">
        <v>522.1</v>
      </c>
      <c r="AF14" s="18">
        <v>-2.3564615672339671E-2</v>
      </c>
      <c r="AG14" s="17">
        <v>535.4</v>
      </c>
      <c r="AH14" s="18">
        <v>6.0127771514466959E-3</v>
      </c>
      <c r="AI14" s="17">
        <v>509.9</v>
      </c>
      <c r="AJ14" s="18">
        <v>-3.1160934828044801E-2</v>
      </c>
      <c r="AK14" s="17">
        <v>629.90000000000009</v>
      </c>
      <c r="AL14" s="18">
        <v>7.67877139657684E-3</v>
      </c>
      <c r="AR14" s="23" t="s">
        <v>13</v>
      </c>
      <c r="AS14" s="18">
        <v>3.3027487485006078E-2</v>
      </c>
    </row>
    <row r="15" spans="4:45" x14ac:dyDescent="0.25">
      <c r="D15" s="17" t="s">
        <v>105</v>
      </c>
      <c r="E15" s="17">
        <v>6848.4</v>
      </c>
      <c r="F15" s="18">
        <f t="shared" si="0"/>
        <v>5.8411214953217905E-5</v>
      </c>
      <c r="G15" s="21"/>
      <c r="L15" s="17" t="s">
        <v>88</v>
      </c>
      <c r="M15" s="17">
        <v>521.59999999999991</v>
      </c>
      <c r="N15" s="18">
        <v>-5.7482276298176252E-4</v>
      </c>
      <c r="O15" s="17">
        <v>539</v>
      </c>
      <c r="P15" s="18">
        <v>6.5359477124183009E-3</v>
      </c>
      <c r="Q15" s="17">
        <v>583</v>
      </c>
      <c r="R15" s="18">
        <v>3.4423407917383822E-3</v>
      </c>
      <c r="S15" s="17">
        <v>518</v>
      </c>
      <c r="T15" s="18">
        <v>2.7100271002709585E-3</v>
      </c>
      <c r="U15" s="17">
        <v>650.9</v>
      </c>
      <c r="V15" s="18">
        <v>2.310594152782133E-2</v>
      </c>
      <c r="W15" s="17">
        <v>368.8</v>
      </c>
      <c r="X15" s="18">
        <v>1.0964912280701754E-2</v>
      </c>
      <c r="Y15" s="17">
        <v>527.4</v>
      </c>
      <c r="Z15" s="18">
        <v>1.2478402764446152E-2</v>
      </c>
      <c r="AA15" s="17">
        <v>494.7</v>
      </c>
      <c r="AB15" s="18">
        <v>3.4720769713448993E-2</v>
      </c>
      <c r="AC15" s="17">
        <v>517</v>
      </c>
      <c r="AD15" s="18">
        <v>-2.3053665910808853E-2</v>
      </c>
      <c r="AE15" s="17">
        <v>507.70000000000005</v>
      </c>
      <c r="AF15" s="18">
        <v>-2.7580923194790226E-2</v>
      </c>
      <c r="AG15" s="17">
        <v>538.5</v>
      </c>
      <c r="AH15" s="18">
        <v>5.7900635039223438E-3</v>
      </c>
      <c r="AI15" s="17">
        <v>520.9</v>
      </c>
      <c r="AJ15" s="18">
        <v>2.1572857423024124E-2</v>
      </c>
      <c r="AK15" s="17">
        <v>645.20000000000005</v>
      </c>
      <c r="AL15" s="18">
        <v>2.4289569772979764E-2</v>
      </c>
      <c r="AR15" s="23" t="s">
        <v>14</v>
      </c>
      <c r="AS15" s="18">
        <v>5.4623724633817428E-2</v>
      </c>
    </row>
    <row r="16" spans="4:45" x14ac:dyDescent="0.25">
      <c r="D16" s="17" t="s">
        <v>84</v>
      </c>
      <c r="E16" s="17">
        <v>6881.5</v>
      </c>
      <c r="F16" s="18">
        <f t="shared" si="0"/>
        <v>4.8332457216284626E-3</v>
      </c>
      <c r="G16" s="21"/>
      <c r="L16" s="22" t="s">
        <v>68</v>
      </c>
      <c r="M16" s="27">
        <f>SUM(M4:M15)</f>
        <v>6029</v>
      </c>
      <c r="N16" s="52">
        <f>SUM(N5:N15)</f>
        <v>0.11309708746930035</v>
      </c>
      <c r="O16" s="27">
        <f>SUM(O4:O15)</f>
        <v>6395.4000000000005</v>
      </c>
      <c r="P16" s="52">
        <f>SUM(P5:P15)</f>
        <v>2.3552637868070467E-2</v>
      </c>
      <c r="Q16" s="27">
        <f>SUM(Q4:Q15)</f>
        <v>6832.4000000000005</v>
      </c>
      <c r="R16" s="52">
        <f>SUM(R5:R15)</f>
        <v>5.4623724633817428E-2</v>
      </c>
      <c r="S16" s="27">
        <f>SUM(S4:S15)</f>
        <v>6116.9000000000005</v>
      </c>
      <c r="T16" s="52">
        <f>SUM(T5:T15)</f>
        <v>3.3027487485006078E-2</v>
      </c>
      <c r="U16" s="27">
        <f>SUM(U4:U14)</f>
        <v>6626.5999999999995</v>
      </c>
      <c r="V16" s="52">
        <f>SUM(V5:V15)</f>
        <v>0.15256620125282808</v>
      </c>
      <c r="W16" s="27">
        <f>SUM(W4:W15)</f>
        <v>4369.0999999999995</v>
      </c>
      <c r="X16" s="52">
        <f>SUM(X5:X15)</f>
        <v>2.3257930291601128E-2</v>
      </c>
      <c r="Y16" s="27">
        <f>SUM(Y4:Y15)</f>
        <v>6116.2999999999993</v>
      </c>
      <c r="Z16" s="52">
        <f>SUM(Z5:Z15)</f>
        <v>6.8883626983179291E-2</v>
      </c>
      <c r="AA16" s="27">
        <f>SUM(AA4:AA15)</f>
        <v>6328.7000000000007</v>
      </c>
      <c r="AB16" s="52">
        <f>SUM(AB5:AB15)</f>
        <v>-0.11025198453134809</v>
      </c>
      <c r="AC16" s="27">
        <f>SUM(AC4:AC15)</f>
        <v>6036.5999999999995</v>
      </c>
      <c r="AD16" s="52">
        <f>SUM(AD5:AD15)</f>
        <v>1.9566579588782947E-2</v>
      </c>
      <c r="AE16" s="27">
        <f>SUM(AE4:AE15)</f>
        <v>6652.9</v>
      </c>
      <c r="AF16" s="52">
        <f>SUM(AF5:AF15)</f>
        <v>-0.16068757659060465</v>
      </c>
      <c r="AG16" s="27">
        <f>SUM(AG4:AG15)</f>
        <v>6224.2999999999993</v>
      </c>
      <c r="AH16" s="52">
        <f>SUM(AH5:AH15)</f>
        <v>7.9344721583903544E-2</v>
      </c>
      <c r="AI16" s="27">
        <f>SUM(AI4:AI15)</f>
        <v>6353.8999999999987</v>
      </c>
      <c r="AJ16" s="52">
        <f>SUM(AJ5:AJ15)</f>
        <v>2.5085116490250935E-2</v>
      </c>
      <c r="AK16" s="27">
        <f>SUM(AK4:AK15)</f>
        <v>7604.8999999999987</v>
      </c>
      <c r="AL16" s="52">
        <f>SUM(AL5:AL15)</f>
        <v>-2.1180872862463635E-2</v>
      </c>
      <c r="AR16" s="23" t="s">
        <v>15</v>
      </c>
      <c r="AS16" s="18">
        <v>2.3552637868070467E-2</v>
      </c>
    </row>
    <row r="17" spans="1:20" x14ac:dyDescent="0.25">
      <c r="D17" s="17" t="s">
        <v>88</v>
      </c>
      <c r="E17" s="17">
        <v>6932.7000000000007</v>
      </c>
      <c r="F17" s="18">
        <f t="shared" si="0"/>
        <v>7.4402383201337971E-3</v>
      </c>
      <c r="G17" s="21" t="s">
        <v>106</v>
      </c>
      <c r="T17" s="10"/>
    </row>
    <row r="28" spans="1:20" x14ac:dyDescent="0.25">
      <c r="A28" s="9"/>
    </row>
    <row r="29" spans="1:20" x14ac:dyDescent="0.25">
      <c r="A29" s="9"/>
    </row>
    <row r="30" spans="1:20" x14ac:dyDescent="0.25">
      <c r="A30" s="9"/>
    </row>
    <row r="31" spans="1:20" x14ac:dyDescent="0.25">
      <c r="A31" s="9"/>
    </row>
    <row r="32" spans="1:20" x14ac:dyDescent="0.25">
      <c r="A32" s="9"/>
    </row>
    <row r="33" spans="1:25" x14ac:dyDescent="0.25">
      <c r="A33" s="9"/>
    </row>
    <row r="34" spans="1:25" x14ac:dyDescent="0.25">
      <c r="A34" s="9"/>
    </row>
    <row r="35" spans="1:25" x14ac:dyDescent="0.25">
      <c r="A35" s="9"/>
    </row>
    <row r="36" spans="1:25" x14ac:dyDescent="0.25">
      <c r="A36" s="9"/>
    </row>
    <row r="37" spans="1:25" x14ac:dyDescent="0.25">
      <c r="A37" s="9"/>
    </row>
    <row r="38" spans="1:25" x14ac:dyDescent="0.25">
      <c r="A38" s="9"/>
    </row>
    <row r="39" spans="1:25" x14ac:dyDescent="0.25">
      <c r="A39" s="9"/>
    </row>
    <row r="40" spans="1:25" x14ac:dyDescent="0.25">
      <c r="L40" t="s">
        <v>57</v>
      </c>
      <c r="M40" t="s">
        <v>90</v>
      </c>
      <c r="N40" t="s">
        <v>102</v>
      </c>
      <c r="O40" t="s">
        <v>101</v>
      </c>
      <c r="P40" t="s">
        <v>100</v>
      </c>
      <c r="Q40" t="s">
        <v>99</v>
      </c>
      <c r="R40" t="s">
        <v>98</v>
      </c>
      <c r="S40" t="s">
        <v>97</v>
      </c>
      <c r="T40" t="s">
        <v>96</v>
      </c>
      <c r="U40" t="s">
        <v>95</v>
      </c>
      <c r="V40" t="s">
        <v>94</v>
      </c>
      <c r="W40" t="s">
        <v>93</v>
      </c>
      <c r="X40" t="s">
        <v>92</v>
      </c>
      <c r="Y40" t="s">
        <v>91</v>
      </c>
    </row>
    <row r="41" spans="1:25" x14ac:dyDescent="0.25">
      <c r="L41" t="s">
        <v>76</v>
      </c>
      <c r="M41">
        <v>481.9</v>
      </c>
      <c r="N41">
        <v>530.6</v>
      </c>
      <c r="O41">
        <v>559.20000000000005</v>
      </c>
      <c r="P41">
        <v>504.1</v>
      </c>
      <c r="Q41">
        <v>578.9</v>
      </c>
      <c r="R41">
        <v>363.3</v>
      </c>
      <c r="S41">
        <v>501.6</v>
      </c>
      <c r="T41">
        <v>572.9</v>
      </c>
      <c r="U41">
        <v>519.20000000000005</v>
      </c>
      <c r="V41">
        <v>573</v>
      </c>
      <c r="W41">
        <v>504.4</v>
      </c>
      <c r="X41">
        <v>508.09999999999997</v>
      </c>
      <c r="Y41">
        <v>621.5</v>
      </c>
    </row>
    <row r="42" spans="1:25" x14ac:dyDescent="0.25">
      <c r="L42" t="s">
        <v>77</v>
      </c>
      <c r="M42">
        <v>508.2</v>
      </c>
      <c r="N42">
        <v>528.9</v>
      </c>
      <c r="O42">
        <v>571.29999999999995</v>
      </c>
      <c r="P42">
        <v>510.6</v>
      </c>
      <c r="Q42">
        <v>613.20000000000005</v>
      </c>
      <c r="R42">
        <v>366.09999999999997</v>
      </c>
      <c r="S42">
        <v>512.6</v>
      </c>
      <c r="T42">
        <v>488.8</v>
      </c>
      <c r="U42">
        <v>474.2</v>
      </c>
      <c r="V42">
        <v>561.5</v>
      </c>
      <c r="W42">
        <v>520.9</v>
      </c>
      <c r="X42">
        <v>571.20000000000005</v>
      </c>
      <c r="Y42">
        <v>628.79999999999995</v>
      </c>
    </row>
    <row r="43" spans="1:25" x14ac:dyDescent="0.25">
      <c r="L43" t="s">
        <v>78</v>
      </c>
      <c r="M43">
        <v>471</v>
      </c>
      <c r="N43">
        <v>526.9</v>
      </c>
      <c r="O43">
        <v>556</v>
      </c>
      <c r="P43">
        <v>502.70000000000005</v>
      </c>
      <c r="Q43">
        <v>568.1</v>
      </c>
      <c r="R43">
        <v>360.7</v>
      </c>
      <c r="S43">
        <v>492.70000000000005</v>
      </c>
      <c r="T43">
        <v>559.20000000000005</v>
      </c>
      <c r="U43">
        <v>523.29999999999995</v>
      </c>
      <c r="V43">
        <v>582.79999999999995</v>
      </c>
      <c r="W43">
        <v>500</v>
      </c>
      <c r="X43">
        <v>526.09999999999991</v>
      </c>
      <c r="Y43">
        <v>640.90000000000009</v>
      </c>
    </row>
    <row r="44" spans="1:25" x14ac:dyDescent="0.25">
      <c r="L44" t="s">
        <v>79</v>
      </c>
      <c r="M44">
        <v>466.3</v>
      </c>
      <c r="N44">
        <v>526.6</v>
      </c>
      <c r="O44">
        <v>552.1</v>
      </c>
      <c r="P44">
        <v>501.2</v>
      </c>
      <c r="Q44">
        <v>559.5</v>
      </c>
      <c r="R44">
        <v>360.4</v>
      </c>
      <c r="S44">
        <v>492.5</v>
      </c>
      <c r="T44">
        <v>561.1</v>
      </c>
      <c r="U44">
        <v>509.59999999999997</v>
      </c>
      <c r="V44">
        <v>597.6</v>
      </c>
      <c r="W44">
        <v>497.6</v>
      </c>
      <c r="X44">
        <v>513.20000000000005</v>
      </c>
      <c r="Y44">
        <v>660</v>
      </c>
    </row>
    <row r="45" spans="1:25" x14ac:dyDescent="0.25">
      <c r="L45" t="s">
        <v>80</v>
      </c>
      <c r="M45">
        <v>463.69999999999993</v>
      </c>
      <c r="N45">
        <v>521.6</v>
      </c>
      <c r="O45">
        <v>547.79999999999995</v>
      </c>
      <c r="P45">
        <v>498.8</v>
      </c>
      <c r="Q45">
        <v>552.9</v>
      </c>
      <c r="R45">
        <v>359.8</v>
      </c>
      <c r="S45">
        <v>493.79999999999995</v>
      </c>
      <c r="T45">
        <v>538.5</v>
      </c>
      <c r="U45">
        <v>513.5</v>
      </c>
      <c r="V45">
        <v>601.79999999999995</v>
      </c>
      <c r="W45">
        <v>494.9</v>
      </c>
      <c r="X45">
        <v>487.9</v>
      </c>
      <c r="Y45">
        <v>652.9</v>
      </c>
    </row>
    <row r="46" spans="1:25" x14ac:dyDescent="0.25">
      <c r="L46" t="s">
        <v>81</v>
      </c>
      <c r="M46">
        <v>502.70000000000005</v>
      </c>
      <c r="N46">
        <v>536.20000000000005</v>
      </c>
      <c r="O46">
        <v>568.79999999999995</v>
      </c>
      <c r="P46">
        <v>508.9</v>
      </c>
      <c r="Q46">
        <v>606.40000000000009</v>
      </c>
      <c r="R46">
        <v>367</v>
      </c>
      <c r="S46">
        <v>511.7</v>
      </c>
      <c r="T46">
        <v>560.20000000000005</v>
      </c>
      <c r="U46">
        <v>482.4</v>
      </c>
      <c r="V46">
        <v>562.9</v>
      </c>
      <c r="W46">
        <v>516.90000000000009</v>
      </c>
      <c r="X46">
        <v>544.79999999999995</v>
      </c>
      <c r="Y46">
        <v>630</v>
      </c>
    </row>
    <row r="47" spans="1:25" x14ac:dyDescent="0.25">
      <c r="L47" t="s">
        <v>82</v>
      </c>
      <c r="M47">
        <v>496.3</v>
      </c>
      <c r="N47">
        <v>540.29999999999995</v>
      </c>
      <c r="O47">
        <v>565.4</v>
      </c>
      <c r="P47">
        <v>507.3</v>
      </c>
      <c r="Q47">
        <v>597.9</v>
      </c>
      <c r="R47">
        <v>366.4</v>
      </c>
      <c r="S47">
        <v>509.40000000000003</v>
      </c>
      <c r="T47">
        <v>613.09999999999991</v>
      </c>
      <c r="U47">
        <v>491.7</v>
      </c>
      <c r="V47">
        <v>555.79999999999995</v>
      </c>
      <c r="W47">
        <v>512.79999999999995</v>
      </c>
      <c r="X47">
        <v>513.1</v>
      </c>
      <c r="Y47">
        <v>634.6</v>
      </c>
    </row>
    <row r="48" spans="1:25" x14ac:dyDescent="0.25">
      <c r="L48" t="s">
        <v>83</v>
      </c>
      <c r="M48">
        <v>491.29999999999995</v>
      </c>
      <c r="N48">
        <v>535.1</v>
      </c>
      <c r="O48">
        <v>562.6</v>
      </c>
      <c r="P48">
        <v>505.9</v>
      </c>
      <c r="Q48">
        <v>590</v>
      </c>
      <c r="R48">
        <v>365.5</v>
      </c>
      <c r="S48">
        <v>507.29999999999995</v>
      </c>
      <c r="T48">
        <v>589.5</v>
      </c>
      <c r="U48">
        <v>497.29999999999995</v>
      </c>
      <c r="V48">
        <v>562.1</v>
      </c>
      <c r="W48">
        <v>509.29999999999995</v>
      </c>
      <c r="X48">
        <v>509.6</v>
      </c>
      <c r="Y48">
        <v>629.59999999999991</v>
      </c>
    </row>
    <row r="49" spans="12:25" x14ac:dyDescent="0.25">
      <c r="L49" t="s">
        <v>84</v>
      </c>
      <c r="M49">
        <v>521.90000000000009</v>
      </c>
      <c r="N49">
        <v>535.5</v>
      </c>
      <c r="O49">
        <v>581</v>
      </c>
      <c r="P49">
        <v>516.59999999999991</v>
      </c>
      <c r="Q49">
        <v>636.20000000000005</v>
      </c>
      <c r="R49">
        <v>364.79999999999995</v>
      </c>
      <c r="S49">
        <v>520.90000000000009</v>
      </c>
      <c r="T49">
        <v>478.1</v>
      </c>
      <c r="U49">
        <v>529.20000000000005</v>
      </c>
      <c r="V49">
        <v>522.1</v>
      </c>
      <c r="W49">
        <v>535.40000000000009</v>
      </c>
      <c r="X49">
        <v>509.9</v>
      </c>
      <c r="Y49">
        <v>629.9</v>
      </c>
    </row>
    <row r="50" spans="12:25" x14ac:dyDescent="0.25">
      <c r="L50" t="s">
        <v>85</v>
      </c>
      <c r="M50">
        <v>523.29999999999995</v>
      </c>
      <c r="N50">
        <v>532.5</v>
      </c>
      <c r="O50">
        <v>579.5</v>
      </c>
      <c r="P50">
        <v>514.80000000000007</v>
      </c>
      <c r="Q50">
        <v>626.6</v>
      </c>
      <c r="R50">
        <v>361</v>
      </c>
      <c r="S50">
        <v>513.6</v>
      </c>
      <c r="T50">
        <v>469.4</v>
      </c>
      <c r="U50">
        <v>508.8</v>
      </c>
      <c r="V50">
        <v>534.9</v>
      </c>
      <c r="W50">
        <v>532.20000000000005</v>
      </c>
      <c r="X50">
        <v>526.29999999999995</v>
      </c>
      <c r="Y50">
        <v>625.09999999999991</v>
      </c>
    </row>
    <row r="51" spans="12:25" x14ac:dyDescent="0.25">
      <c r="L51" t="s">
        <v>86</v>
      </c>
      <c r="M51">
        <v>521.1</v>
      </c>
      <c r="N51">
        <v>531.20000000000005</v>
      </c>
      <c r="O51">
        <v>574</v>
      </c>
      <c r="P51">
        <v>512</v>
      </c>
      <c r="Q51">
        <v>623.20000000000005</v>
      </c>
      <c r="R51">
        <v>364.1</v>
      </c>
      <c r="S51">
        <v>512.79999999999995</v>
      </c>
      <c r="T51">
        <v>472.1</v>
      </c>
      <c r="U51">
        <v>475.1</v>
      </c>
      <c r="V51">
        <v>557.79999999999995</v>
      </c>
      <c r="W51">
        <v>524.09999999999991</v>
      </c>
      <c r="X51">
        <v>584.4</v>
      </c>
      <c r="Y51">
        <v>634.20000000000005</v>
      </c>
    </row>
    <row r="52" spans="12:25" x14ac:dyDescent="0.25">
      <c r="L52" t="s">
        <v>87</v>
      </c>
      <c r="M52">
        <v>523.40000000000009</v>
      </c>
      <c r="N52">
        <v>532.6</v>
      </c>
      <c r="O52">
        <v>579.5</v>
      </c>
      <c r="P52">
        <v>514.80000000000007</v>
      </c>
      <c r="Q52">
        <v>626.6</v>
      </c>
      <c r="R52">
        <v>361</v>
      </c>
      <c r="S52">
        <v>513.79999999999995</v>
      </c>
      <c r="T52">
        <v>469.6</v>
      </c>
      <c r="U52">
        <v>508.8</v>
      </c>
      <c r="V52">
        <v>534.70000000000005</v>
      </c>
      <c r="W52">
        <v>532.20000000000005</v>
      </c>
      <c r="X52">
        <v>526.29999999999995</v>
      </c>
      <c r="Y52">
        <v>625.09999999999991</v>
      </c>
    </row>
    <row r="53" spans="12:25" x14ac:dyDescent="0.25">
      <c r="L53" t="s">
        <v>88</v>
      </c>
      <c r="M53">
        <v>521.59999999999991</v>
      </c>
      <c r="N53">
        <v>539</v>
      </c>
      <c r="O53">
        <v>583</v>
      </c>
      <c r="P53">
        <v>518</v>
      </c>
      <c r="Q53">
        <v>650.9</v>
      </c>
      <c r="R53">
        <v>368.8</v>
      </c>
      <c r="S53">
        <v>527.4</v>
      </c>
      <c r="T53">
        <v>494.7</v>
      </c>
      <c r="U53">
        <v>517</v>
      </c>
      <c r="V53">
        <v>507.7</v>
      </c>
      <c r="W53">
        <v>538.5</v>
      </c>
      <c r="X53">
        <v>520.9</v>
      </c>
      <c r="Y53">
        <v>645.20000000000005</v>
      </c>
    </row>
    <row r="54" spans="12:25" x14ac:dyDescent="0.25">
      <c r="L54" t="s">
        <v>58</v>
      </c>
      <c r="M54">
        <v>6492.7000000000025</v>
      </c>
      <c r="N54">
        <v>6917.0000000000009</v>
      </c>
      <c r="O54">
        <v>7380.2</v>
      </c>
      <c r="P54">
        <v>6615.7000000000007</v>
      </c>
      <c r="Q54">
        <v>7830.4</v>
      </c>
      <c r="R54">
        <v>4728.9000000000005</v>
      </c>
      <c r="S54">
        <v>6610.1</v>
      </c>
      <c r="T54">
        <v>6867.2</v>
      </c>
      <c r="U54">
        <v>6550.1</v>
      </c>
      <c r="V54">
        <v>7254.7</v>
      </c>
      <c r="W54">
        <v>6719.2</v>
      </c>
      <c r="X54">
        <v>6841.7999999999993</v>
      </c>
      <c r="Y54">
        <v>8257.7999999999993</v>
      </c>
    </row>
    <row r="133" spans="2:2" x14ac:dyDescent="0.25">
      <c r="B133" t="str">
        <f t="shared" ref="B133:B156" ca="1" si="1">CONCATENATE($B133," ",$C133)</f>
        <v>2015 December</v>
      </c>
    </row>
    <row r="134" spans="2:2" x14ac:dyDescent="0.25">
      <c r="B134" t="str">
        <f t="shared" ca="1" si="1"/>
        <v>2015 December</v>
      </c>
    </row>
    <row r="135" spans="2:2" x14ac:dyDescent="0.25">
      <c r="B135" t="str">
        <f t="shared" ca="1" si="1"/>
        <v>2015 December</v>
      </c>
    </row>
    <row r="136" spans="2:2" x14ac:dyDescent="0.25">
      <c r="B136" t="str">
        <f t="shared" ca="1" si="1"/>
        <v>2016 January</v>
      </c>
    </row>
    <row r="137" spans="2:2" x14ac:dyDescent="0.25">
      <c r="B137" t="str">
        <f t="shared" ca="1" si="1"/>
        <v>2016 January</v>
      </c>
    </row>
    <row r="138" spans="2:2" x14ac:dyDescent="0.25">
      <c r="B138" t="str">
        <f t="shared" ca="1" si="1"/>
        <v>2016 January</v>
      </c>
    </row>
    <row r="139" spans="2:2" x14ac:dyDescent="0.25">
      <c r="B139" t="str">
        <f t="shared" ca="1" si="1"/>
        <v>2016 February</v>
      </c>
    </row>
    <row r="140" spans="2:2" x14ac:dyDescent="0.25">
      <c r="B140" t="str">
        <f t="shared" ca="1" si="1"/>
        <v>2016 February</v>
      </c>
    </row>
    <row r="141" spans="2:2" x14ac:dyDescent="0.25">
      <c r="B141" t="str">
        <f t="shared" ca="1" si="1"/>
        <v>2016 February</v>
      </c>
    </row>
    <row r="142" spans="2:2" x14ac:dyDescent="0.25">
      <c r="B142" t="str">
        <f t="shared" ca="1" si="1"/>
        <v>2016 March</v>
      </c>
    </row>
    <row r="143" spans="2:2" x14ac:dyDescent="0.25">
      <c r="B143" t="str">
        <f t="shared" ca="1" si="1"/>
        <v>2016 March</v>
      </c>
    </row>
    <row r="144" spans="2:2" x14ac:dyDescent="0.25">
      <c r="B144" t="str">
        <f t="shared" ca="1" si="1"/>
        <v>2016 March</v>
      </c>
    </row>
    <row r="145" spans="2:2" x14ac:dyDescent="0.25">
      <c r="B145" t="str">
        <f t="shared" ca="1" si="1"/>
        <v>2016 April</v>
      </c>
    </row>
    <row r="146" spans="2:2" x14ac:dyDescent="0.25">
      <c r="B146" t="str">
        <f t="shared" ca="1" si="1"/>
        <v>2016 April</v>
      </c>
    </row>
    <row r="147" spans="2:2" x14ac:dyDescent="0.25">
      <c r="B147" t="str">
        <f t="shared" ca="1" si="1"/>
        <v>2016 April</v>
      </c>
    </row>
    <row r="148" spans="2:2" x14ac:dyDescent="0.25">
      <c r="B148" t="str">
        <f t="shared" ca="1" si="1"/>
        <v>2016 May</v>
      </c>
    </row>
    <row r="149" spans="2:2" x14ac:dyDescent="0.25">
      <c r="B149" t="str">
        <f t="shared" ca="1" si="1"/>
        <v>2016 May</v>
      </c>
    </row>
    <row r="150" spans="2:2" x14ac:dyDescent="0.25">
      <c r="B150" t="str">
        <f t="shared" ca="1" si="1"/>
        <v>2016 May</v>
      </c>
    </row>
    <row r="151" spans="2:2" x14ac:dyDescent="0.25">
      <c r="B151" t="str">
        <f t="shared" ca="1" si="1"/>
        <v>2016 June</v>
      </c>
    </row>
    <row r="152" spans="2:2" x14ac:dyDescent="0.25">
      <c r="B152" t="str">
        <f t="shared" ca="1" si="1"/>
        <v>2016 June</v>
      </c>
    </row>
    <row r="153" spans="2:2" x14ac:dyDescent="0.25">
      <c r="B153" t="str">
        <f t="shared" ca="1" si="1"/>
        <v>2016 June</v>
      </c>
    </row>
    <row r="154" spans="2:2" x14ac:dyDescent="0.25">
      <c r="B154" t="str">
        <f t="shared" ca="1" si="1"/>
        <v>2016 July</v>
      </c>
    </row>
    <row r="155" spans="2:2" x14ac:dyDescent="0.25">
      <c r="B155" t="str">
        <f t="shared" ca="1" si="1"/>
        <v>2016 July</v>
      </c>
    </row>
    <row r="156" spans="2:2" x14ac:dyDescent="0.25">
      <c r="B156" t="str">
        <f t="shared" ca="1" si="1"/>
        <v>2016 July</v>
      </c>
    </row>
    <row r="157" spans="2:2" x14ac:dyDescent="0.25">
      <c r="B157" t="str">
        <f t="shared" ref="B157:B220" ca="1" si="2">CONCATENATE($B157," ",$C157)</f>
        <v>2016 August</v>
      </c>
    </row>
    <row r="158" spans="2:2" x14ac:dyDescent="0.25">
      <c r="B158" t="str">
        <f t="shared" ca="1" si="2"/>
        <v>2016 August</v>
      </c>
    </row>
    <row r="159" spans="2:2" x14ac:dyDescent="0.25">
      <c r="B159" t="str">
        <f t="shared" ca="1" si="2"/>
        <v>2016 August</v>
      </c>
    </row>
    <row r="160" spans="2:2" x14ac:dyDescent="0.25">
      <c r="B160" t="str">
        <f t="shared" ca="1" si="2"/>
        <v>2016 September</v>
      </c>
    </row>
    <row r="161" spans="2:2" x14ac:dyDescent="0.25">
      <c r="B161" t="str">
        <f t="shared" ca="1" si="2"/>
        <v>2016 September</v>
      </c>
    </row>
    <row r="162" spans="2:2" x14ac:dyDescent="0.25">
      <c r="B162" t="str">
        <f t="shared" ca="1" si="2"/>
        <v>2016 September</v>
      </c>
    </row>
    <row r="163" spans="2:2" x14ac:dyDescent="0.25">
      <c r="B163" t="str">
        <f t="shared" ca="1" si="2"/>
        <v>2016 October</v>
      </c>
    </row>
    <row r="164" spans="2:2" x14ac:dyDescent="0.25">
      <c r="B164" t="str">
        <f t="shared" ca="1" si="2"/>
        <v>2016 October</v>
      </c>
    </row>
    <row r="165" spans="2:2" x14ac:dyDescent="0.25">
      <c r="B165" t="str">
        <f t="shared" ca="1" si="2"/>
        <v>2016 October</v>
      </c>
    </row>
    <row r="166" spans="2:2" x14ac:dyDescent="0.25">
      <c r="B166" t="str">
        <f t="shared" ca="1" si="2"/>
        <v>2016 November</v>
      </c>
    </row>
    <row r="167" spans="2:2" x14ac:dyDescent="0.25">
      <c r="B167" t="str">
        <f t="shared" ca="1" si="2"/>
        <v>2016 November</v>
      </c>
    </row>
    <row r="168" spans="2:2" x14ac:dyDescent="0.25">
      <c r="B168" t="str">
        <f t="shared" ca="1" si="2"/>
        <v>2016 November</v>
      </c>
    </row>
    <row r="169" spans="2:2" x14ac:dyDescent="0.25">
      <c r="B169" t="str">
        <f t="shared" ca="1" si="2"/>
        <v>2016 December</v>
      </c>
    </row>
    <row r="170" spans="2:2" x14ac:dyDescent="0.25">
      <c r="B170" t="str">
        <f t="shared" ca="1" si="2"/>
        <v>2016 December</v>
      </c>
    </row>
    <row r="171" spans="2:2" x14ac:dyDescent="0.25">
      <c r="B171" t="str">
        <f t="shared" ca="1" si="2"/>
        <v>2016 December</v>
      </c>
    </row>
    <row r="172" spans="2:2" x14ac:dyDescent="0.25">
      <c r="B172" t="str">
        <f t="shared" ca="1" si="2"/>
        <v>2017 January</v>
      </c>
    </row>
    <row r="173" spans="2:2" x14ac:dyDescent="0.25">
      <c r="B173" t="str">
        <f t="shared" ca="1" si="2"/>
        <v>2017 January</v>
      </c>
    </row>
    <row r="174" spans="2:2" x14ac:dyDescent="0.25">
      <c r="B174" t="str">
        <f t="shared" ca="1" si="2"/>
        <v>2017 January</v>
      </c>
    </row>
    <row r="175" spans="2:2" x14ac:dyDescent="0.25">
      <c r="B175" t="str">
        <f t="shared" ca="1" si="2"/>
        <v>2017 February</v>
      </c>
    </row>
    <row r="176" spans="2:2" x14ac:dyDescent="0.25">
      <c r="B176" t="str">
        <f t="shared" ca="1" si="2"/>
        <v>2017 February</v>
      </c>
    </row>
    <row r="177" spans="2:2" x14ac:dyDescent="0.25">
      <c r="B177" t="str">
        <f t="shared" ca="1" si="2"/>
        <v>2017 February</v>
      </c>
    </row>
    <row r="178" spans="2:2" x14ac:dyDescent="0.25">
      <c r="B178" t="str">
        <f t="shared" ca="1" si="2"/>
        <v>2017 March</v>
      </c>
    </row>
    <row r="179" spans="2:2" x14ac:dyDescent="0.25">
      <c r="B179" t="str">
        <f t="shared" ca="1" si="2"/>
        <v>2017 March</v>
      </c>
    </row>
    <row r="180" spans="2:2" x14ac:dyDescent="0.25">
      <c r="B180" t="str">
        <f t="shared" ca="1" si="2"/>
        <v>2017 March</v>
      </c>
    </row>
    <row r="181" spans="2:2" x14ac:dyDescent="0.25">
      <c r="B181" t="str">
        <f t="shared" ca="1" si="2"/>
        <v>2017 April</v>
      </c>
    </row>
    <row r="182" spans="2:2" x14ac:dyDescent="0.25">
      <c r="B182" t="str">
        <f t="shared" ca="1" si="2"/>
        <v>2017 April</v>
      </c>
    </row>
    <row r="183" spans="2:2" x14ac:dyDescent="0.25">
      <c r="B183" t="str">
        <f t="shared" ca="1" si="2"/>
        <v>2017 April</v>
      </c>
    </row>
    <row r="184" spans="2:2" x14ac:dyDescent="0.25">
      <c r="B184" t="str">
        <f t="shared" ca="1" si="2"/>
        <v>2017 May</v>
      </c>
    </row>
    <row r="185" spans="2:2" x14ac:dyDescent="0.25">
      <c r="B185" t="str">
        <f t="shared" ca="1" si="2"/>
        <v>2017 May</v>
      </c>
    </row>
    <row r="186" spans="2:2" x14ac:dyDescent="0.25">
      <c r="B186" t="str">
        <f t="shared" ca="1" si="2"/>
        <v>2017 May</v>
      </c>
    </row>
    <row r="187" spans="2:2" x14ac:dyDescent="0.25">
      <c r="B187" t="str">
        <f t="shared" ca="1" si="2"/>
        <v>2017 June</v>
      </c>
    </row>
    <row r="188" spans="2:2" x14ac:dyDescent="0.25">
      <c r="B188" t="str">
        <f t="shared" ca="1" si="2"/>
        <v>2017 June</v>
      </c>
    </row>
    <row r="189" spans="2:2" x14ac:dyDescent="0.25">
      <c r="B189" t="str">
        <f t="shared" ca="1" si="2"/>
        <v>2017 June</v>
      </c>
    </row>
    <row r="190" spans="2:2" x14ac:dyDescent="0.25">
      <c r="B190" t="str">
        <f t="shared" ca="1" si="2"/>
        <v>2017 July</v>
      </c>
    </row>
    <row r="191" spans="2:2" x14ac:dyDescent="0.25">
      <c r="B191" t="str">
        <f t="shared" ca="1" si="2"/>
        <v>2017 July</v>
      </c>
    </row>
    <row r="192" spans="2:2" x14ac:dyDescent="0.25">
      <c r="B192" t="str">
        <f t="shared" ca="1" si="2"/>
        <v>2017 July</v>
      </c>
    </row>
    <row r="193" spans="2:2" x14ac:dyDescent="0.25">
      <c r="B193" t="str">
        <f t="shared" ca="1" si="2"/>
        <v>2017 August</v>
      </c>
    </row>
    <row r="194" spans="2:2" x14ac:dyDescent="0.25">
      <c r="B194" t="str">
        <f t="shared" ca="1" si="2"/>
        <v>2017 August</v>
      </c>
    </row>
    <row r="195" spans="2:2" x14ac:dyDescent="0.25">
      <c r="B195" t="str">
        <f t="shared" ca="1" si="2"/>
        <v>2017 August</v>
      </c>
    </row>
    <row r="196" spans="2:2" x14ac:dyDescent="0.25">
      <c r="B196" t="str">
        <f t="shared" ca="1" si="2"/>
        <v>2017 September</v>
      </c>
    </row>
    <row r="197" spans="2:2" x14ac:dyDescent="0.25">
      <c r="B197" t="str">
        <f t="shared" ca="1" si="2"/>
        <v>2017 September</v>
      </c>
    </row>
    <row r="198" spans="2:2" x14ac:dyDescent="0.25">
      <c r="B198" t="str">
        <f t="shared" ca="1" si="2"/>
        <v>2017 September</v>
      </c>
    </row>
    <row r="199" spans="2:2" x14ac:dyDescent="0.25">
      <c r="B199" t="str">
        <f t="shared" ca="1" si="2"/>
        <v>2017 October</v>
      </c>
    </row>
    <row r="200" spans="2:2" x14ac:dyDescent="0.25">
      <c r="B200" t="str">
        <f t="shared" ca="1" si="2"/>
        <v>2017 October</v>
      </c>
    </row>
    <row r="201" spans="2:2" x14ac:dyDescent="0.25">
      <c r="B201" t="str">
        <f t="shared" ca="1" si="2"/>
        <v>2017 October</v>
      </c>
    </row>
    <row r="202" spans="2:2" x14ac:dyDescent="0.25">
      <c r="B202" t="str">
        <f t="shared" ca="1" si="2"/>
        <v>2017 November</v>
      </c>
    </row>
    <row r="203" spans="2:2" x14ac:dyDescent="0.25">
      <c r="B203" t="str">
        <f t="shared" ca="1" si="2"/>
        <v>2017 November</v>
      </c>
    </row>
    <row r="204" spans="2:2" x14ac:dyDescent="0.25">
      <c r="B204" t="str">
        <f t="shared" ca="1" si="2"/>
        <v>2017 November</v>
      </c>
    </row>
    <row r="205" spans="2:2" x14ac:dyDescent="0.25">
      <c r="B205" t="str">
        <f t="shared" ca="1" si="2"/>
        <v>2017 December</v>
      </c>
    </row>
    <row r="206" spans="2:2" x14ac:dyDescent="0.25">
      <c r="B206" t="str">
        <f t="shared" ca="1" si="2"/>
        <v>2017 December</v>
      </c>
    </row>
    <row r="207" spans="2:2" x14ac:dyDescent="0.25">
      <c r="B207" t="str">
        <f t="shared" ca="1" si="2"/>
        <v>2017 December</v>
      </c>
    </row>
    <row r="208" spans="2:2" x14ac:dyDescent="0.25">
      <c r="B208" t="str">
        <f t="shared" ca="1" si="2"/>
        <v>2018 January</v>
      </c>
    </row>
    <row r="209" spans="2:2" x14ac:dyDescent="0.25">
      <c r="B209" t="str">
        <f t="shared" ca="1" si="2"/>
        <v>2018 January</v>
      </c>
    </row>
    <row r="210" spans="2:2" x14ac:dyDescent="0.25">
      <c r="B210" t="str">
        <f t="shared" ca="1" si="2"/>
        <v>2018 January</v>
      </c>
    </row>
    <row r="211" spans="2:2" x14ac:dyDescent="0.25">
      <c r="B211" t="str">
        <f t="shared" ca="1" si="2"/>
        <v>2018 February</v>
      </c>
    </row>
    <row r="212" spans="2:2" x14ac:dyDescent="0.25">
      <c r="B212" t="str">
        <f t="shared" ca="1" si="2"/>
        <v>2018 February</v>
      </c>
    </row>
    <row r="213" spans="2:2" x14ac:dyDescent="0.25">
      <c r="B213" t="str">
        <f t="shared" ca="1" si="2"/>
        <v>2018 February</v>
      </c>
    </row>
    <row r="214" spans="2:2" x14ac:dyDescent="0.25">
      <c r="B214" t="str">
        <f t="shared" ca="1" si="2"/>
        <v>2018 March</v>
      </c>
    </row>
    <row r="215" spans="2:2" x14ac:dyDescent="0.25">
      <c r="B215" t="str">
        <f t="shared" ca="1" si="2"/>
        <v>2018 March</v>
      </c>
    </row>
    <row r="216" spans="2:2" x14ac:dyDescent="0.25">
      <c r="B216" t="str">
        <f t="shared" ca="1" si="2"/>
        <v>2018 March</v>
      </c>
    </row>
    <row r="217" spans="2:2" x14ac:dyDescent="0.25">
      <c r="B217" t="str">
        <f t="shared" ca="1" si="2"/>
        <v>2018 April</v>
      </c>
    </row>
    <row r="218" spans="2:2" x14ac:dyDescent="0.25">
      <c r="B218" t="str">
        <f t="shared" ca="1" si="2"/>
        <v>2018 April</v>
      </c>
    </row>
    <row r="219" spans="2:2" x14ac:dyDescent="0.25">
      <c r="B219" t="str">
        <f t="shared" ca="1" si="2"/>
        <v>2018 April</v>
      </c>
    </row>
    <row r="220" spans="2:2" x14ac:dyDescent="0.25">
      <c r="B220" t="str">
        <f t="shared" ca="1" si="2"/>
        <v>2018 May</v>
      </c>
    </row>
    <row r="221" spans="2:2" x14ac:dyDescent="0.25">
      <c r="B221" t="str">
        <f t="shared" ref="B221:B284" ca="1" si="3">CONCATENATE($B221," ",$C221)</f>
        <v>2018 May</v>
      </c>
    </row>
    <row r="222" spans="2:2" x14ac:dyDescent="0.25">
      <c r="B222" t="str">
        <f t="shared" ca="1" si="3"/>
        <v>2018 May</v>
      </c>
    </row>
    <row r="223" spans="2:2" x14ac:dyDescent="0.25">
      <c r="B223" t="str">
        <f t="shared" ca="1" si="3"/>
        <v>2018 June</v>
      </c>
    </row>
    <row r="224" spans="2:2" x14ac:dyDescent="0.25">
      <c r="B224" t="str">
        <f t="shared" ca="1" si="3"/>
        <v>2018 June</v>
      </c>
    </row>
    <row r="225" spans="2:2" x14ac:dyDescent="0.25">
      <c r="B225" t="str">
        <f t="shared" ca="1" si="3"/>
        <v>2018 June</v>
      </c>
    </row>
    <row r="226" spans="2:2" x14ac:dyDescent="0.25">
      <c r="B226" t="str">
        <f t="shared" ca="1" si="3"/>
        <v>2018 July</v>
      </c>
    </row>
    <row r="227" spans="2:2" x14ac:dyDescent="0.25">
      <c r="B227" t="str">
        <f t="shared" ca="1" si="3"/>
        <v>2018 July</v>
      </c>
    </row>
    <row r="228" spans="2:2" x14ac:dyDescent="0.25">
      <c r="B228" t="str">
        <f t="shared" ca="1" si="3"/>
        <v>2018 July</v>
      </c>
    </row>
    <row r="229" spans="2:2" x14ac:dyDescent="0.25">
      <c r="B229" t="str">
        <f t="shared" ca="1" si="3"/>
        <v>2018 August</v>
      </c>
    </row>
    <row r="230" spans="2:2" x14ac:dyDescent="0.25">
      <c r="B230" t="str">
        <f t="shared" ca="1" si="3"/>
        <v>2018 August</v>
      </c>
    </row>
    <row r="231" spans="2:2" x14ac:dyDescent="0.25">
      <c r="B231" t="str">
        <f t="shared" ca="1" si="3"/>
        <v>2018 August</v>
      </c>
    </row>
    <row r="232" spans="2:2" x14ac:dyDescent="0.25">
      <c r="B232" t="str">
        <f t="shared" ca="1" si="3"/>
        <v>2018 September</v>
      </c>
    </row>
    <row r="233" spans="2:2" x14ac:dyDescent="0.25">
      <c r="B233" t="str">
        <f t="shared" ca="1" si="3"/>
        <v>2018 September</v>
      </c>
    </row>
    <row r="234" spans="2:2" x14ac:dyDescent="0.25">
      <c r="B234" t="str">
        <f t="shared" ca="1" si="3"/>
        <v>2018 September</v>
      </c>
    </row>
    <row r="235" spans="2:2" x14ac:dyDescent="0.25">
      <c r="B235" t="str">
        <f t="shared" ca="1" si="3"/>
        <v>2018 October</v>
      </c>
    </row>
    <row r="236" spans="2:2" x14ac:dyDescent="0.25">
      <c r="B236" t="str">
        <f t="shared" ca="1" si="3"/>
        <v>2018 October</v>
      </c>
    </row>
    <row r="237" spans="2:2" x14ac:dyDescent="0.25">
      <c r="B237" t="str">
        <f t="shared" ca="1" si="3"/>
        <v>2018 October</v>
      </c>
    </row>
    <row r="238" spans="2:2" x14ac:dyDescent="0.25">
      <c r="B238" t="str">
        <f t="shared" ca="1" si="3"/>
        <v>2018 November</v>
      </c>
    </row>
    <row r="239" spans="2:2" x14ac:dyDescent="0.25">
      <c r="B239" t="str">
        <f t="shared" ca="1" si="3"/>
        <v>2018 November</v>
      </c>
    </row>
    <row r="240" spans="2:2" x14ac:dyDescent="0.25">
      <c r="B240" t="str">
        <f t="shared" ca="1" si="3"/>
        <v>2018 November</v>
      </c>
    </row>
    <row r="241" spans="2:2" x14ac:dyDescent="0.25">
      <c r="B241" t="str">
        <f t="shared" ca="1" si="3"/>
        <v>2018 December</v>
      </c>
    </row>
    <row r="242" spans="2:2" x14ac:dyDescent="0.25">
      <c r="B242" t="str">
        <f t="shared" ca="1" si="3"/>
        <v>2018 December</v>
      </c>
    </row>
    <row r="243" spans="2:2" x14ac:dyDescent="0.25">
      <c r="B243" t="str">
        <f t="shared" ca="1" si="3"/>
        <v>2018 December</v>
      </c>
    </row>
    <row r="244" spans="2:2" x14ac:dyDescent="0.25">
      <c r="B244" t="str">
        <f t="shared" ca="1" si="3"/>
        <v>2019 January</v>
      </c>
    </row>
    <row r="245" spans="2:2" x14ac:dyDescent="0.25">
      <c r="B245" t="str">
        <f t="shared" ca="1" si="3"/>
        <v>2019 January</v>
      </c>
    </row>
    <row r="246" spans="2:2" x14ac:dyDescent="0.25">
      <c r="B246" t="str">
        <f t="shared" ca="1" si="3"/>
        <v>2019 January</v>
      </c>
    </row>
    <row r="247" spans="2:2" x14ac:dyDescent="0.25">
      <c r="B247" t="str">
        <f t="shared" ca="1" si="3"/>
        <v>2019 February</v>
      </c>
    </row>
    <row r="248" spans="2:2" x14ac:dyDescent="0.25">
      <c r="B248" t="str">
        <f t="shared" ca="1" si="3"/>
        <v>2019 February</v>
      </c>
    </row>
    <row r="249" spans="2:2" x14ac:dyDescent="0.25">
      <c r="B249" t="str">
        <f t="shared" ca="1" si="3"/>
        <v>2019 February</v>
      </c>
    </row>
    <row r="250" spans="2:2" x14ac:dyDescent="0.25">
      <c r="B250" t="str">
        <f t="shared" ca="1" si="3"/>
        <v>2019 March</v>
      </c>
    </row>
    <row r="251" spans="2:2" x14ac:dyDescent="0.25">
      <c r="B251" t="str">
        <f t="shared" ca="1" si="3"/>
        <v>2019 March</v>
      </c>
    </row>
    <row r="252" spans="2:2" x14ac:dyDescent="0.25">
      <c r="B252" t="str">
        <f t="shared" ca="1" si="3"/>
        <v>2019 March</v>
      </c>
    </row>
    <row r="253" spans="2:2" x14ac:dyDescent="0.25">
      <c r="B253" t="str">
        <f t="shared" ca="1" si="3"/>
        <v>2019 May</v>
      </c>
    </row>
    <row r="254" spans="2:2" x14ac:dyDescent="0.25">
      <c r="B254" t="str">
        <f t="shared" ca="1" si="3"/>
        <v>2019 May</v>
      </c>
    </row>
    <row r="255" spans="2:2" x14ac:dyDescent="0.25">
      <c r="B255" t="str">
        <f t="shared" ca="1" si="3"/>
        <v>2019 May</v>
      </c>
    </row>
    <row r="256" spans="2:2" x14ac:dyDescent="0.25">
      <c r="B256" t="str">
        <f t="shared" ca="1" si="3"/>
        <v>2019 June</v>
      </c>
    </row>
    <row r="257" spans="2:2" x14ac:dyDescent="0.25">
      <c r="B257" t="str">
        <f t="shared" ca="1" si="3"/>
        <v>2019 June</v>
      </c>
    </row>
    <row r="258" spans="2:2" x14ac:dyDescent="0.25">
      <c r="B258" t="str">
        <f t="shared" ca="1" si="3"/>
        <v>2019 June</v>
      </c>
    </row>
    <row r="259" spans="2:2" x14ac:dyDescent="0.25">
      <c r="B259" t="str">
        <f t="shared" ca="1" si="3"/>
        <v>2019 July</v>
      </c>
    </row>
    <row r="260" spans="2:2" x14ac:dyDescent="0.25">
      <c r="B260" t="str">
        <f t="shared" ca="1" si="3"/>
        <v>2019 July</v>
      </c>
    </row>
    <row r="261" spans="2:2" x14ac:dyDescent="0.25">
      <c r="B261" t="str">
        <f t="shared" ca="1" si="3"/>
        <v>2019 July</v>
      </c>
    </row>
    <row r="262" spans="2:2" x14ac:dyDescent="0.25">
      <c r="B262" t="str">
        <f t="shared" ca="1" si="3"/>
        <v>2019 August</v>
      </c>
    </row>
    <row r="263" spans="2:2" x14ac:dyDescent="0.25">
      <c r="B263" t="str">
        <f t="shared" ca="1" si="3"/>
        <v>2019 August</v>
      </c>
    </row>
    <row r="264" spans="2:2" x14ac:dyDescent="0.25">
      <c r="B264" t="str">
        <f t="shared" ca="1" si="3"/>
        <v>2019 August</v>
      </c>
    </row>
    <row r="265" spans="2:2" x14ac:dyDescent="0.25">
      <c r="B265" t="str">
        <f t="shared" ca="1" si="3"/>
        <v>2019 September</v>
      </c>
    </row>
    <row r="266" spans="2:2" x14ac:dyDescent="0.25">
      <c r="B266" t="str">
        <f t="shared" ca="1" si="3"/>
        <v>2019 September</v>
      </c>
    </row>
    <row r="267" spans="2:2" x14ac:dyDescent="0.25">
      <c r="B267" t="str">
        <f t="shared" ca="1" si="3"/>
        <v>2019 September</v>
      </c>
    </row>
    <row r="268" spans="2:2" x14ac:dyDescent="0.25">
      <c r="B268" t="str">
        <f t="shared" ca="1" si="3"/>
        <v>2019 October</v>
      </c>
    </row>
    <row r="269" spans="2:2" x14ac:dyDescent="0.25">
      <c r="B269" t="str">
        <f t="shared" ca="1" si="3"/>
        <v>2019 October</v>
      </c>
    </row>
    <row r="270" spans="2:2" x14ac:dyDescent="0.25">
      <c r="B270" t="str">
        <f t="shared" ca="1" si="3"/>
        <v>2019 October</v>
      </c>
    </row>
    <row r="271" spans="2:2" x14ac:dyDescent="0.25">
      <c r="B271" t="str">
        <f t="shared" ca="1" si="3"/>
        <v>2019 November</v>
      </c>
    </row>
    <row r="272" spans="2:2" x14ac:dyDescent="0.25">
      <c r="B272" t="str">
        <f t="shared" ca="1" si="3"/>
        <v>2019 November</v>
      </c>
    </row>
    <row r="273" spans="2:2" x14ac:dyDescent="0.25">
      <c r="B273" t="str">
        <f t="shared" ca="1" si="3"/>
        <v>2019 November</v>
      </c>
    </row>
    <row r="274" spans="2:2" x14ac:dyDescent="0.25">
      <c r="B274" t="str">
        <f t="shared" ca="1" si="3"/>
        <v>2019 December</v>
      </c>
    </row>
    <row r="275" spans="2:2" x14ac:dyDescent="0.25">
      <c r="B275" t="str">
        <f t="shared" ca="1" si="3"/>
        <v>2019 December</v>
      </c>
    </row>
    <row r="276" spans="2:2" x14ac:dyDescent="0.25">
      <c r="B276" t="str">
        <f t="shared" ca="1" si="3"/>
        <v>2019 December</v>
      </c>
    </row>
    <row r="277" spans="2:2" x14ac:dyDescent="0.25">
      <c r="B277" t="str">
        <f t="shared" ca="1" si="3"/>
        <v>2020 January</v>
      </c>
    </row>
    <row r="278" spans="2:2" x14ac:dyDescent="0.25">
      <c r="B278" t="str">
        <f t="shared" ca="1" si="3"/>
        <v>2020 January</v>
      </c>
    </row>
    <row r="279" spans="2:2" x14ac:dyDescent="0.25">
      <c r="B279" t="str">
        <f t="shared" ca="1" si="3"/>
        <v>2020 January</v>
      </c>
    </row>
    <row r="280" spans="2:2" x14ac:dyDescent="0.25">
      <c r="B280" t="str">
        <f t="shared" ca="1" si="3"/>
        <v>2020 February</v>
      </c>
    </row>
    <row r="281" spans="2:2" x14ac:dyDescent="0.25">
      <c r="B281" t="str">
        <f t="shared" ca="1" si="3"/>
        <v>2020 February</v>
      </c>
    </row>
    <row r="282" spans="2:2" x14ac:dyDescent="0.25">
      <c r="B282" t="str">
        <f t="shared" ca="1" si="3"/>
        <v>2020 February</v>
      </c>
    </row>
    <row r="283" spans="2:2" x14ac:dyDescent="0.25">
      <c r="B283" t="str">
        <f t="shared" ca="1" si="3"/>
        <v>2020 March</v>
      </c>
    </row>
    <row r="284" spans="2:2" x14ac:dyDescent="0.25">
      <c r="B284" t="str">
        <f t="shared" ca="1" si="3"/>
        <v>2020 March</v>
      </c>
    </row>
    <row r="285" spans="2:2" x14ac:dyDescent="0.25">
      <c r="B285" t="str">
        <f t="shared" ref="B285:B348" ca="1" si="4">CONCATENATE($B285," ",$C285)</f>
        <v>2020 March</v>
      </c>
    </row>
    <row r="286" spans="2:2" x14ac:dyDescent="0.25">
      <c r="B286" t="str">
        <f t="shared" ca="1" si="4"/>
        <v>2020 April</v>
      </c>
    </row>
    <row r="287" spans="2:2" x14ac:dyDescent="0.25">
      <c r="B287" t="str">
        <f t="shared" ca="1" si="4"/>
        <v>2020 April</v>
      </c>
    </row>
    <row r="288" spans="2:2" x14ac:dyDescent="0.25">
      <c r="B288" t="str">
        <f t="shared" ca="1" si="4"/>
        <v>2020 April</v>
      </c>
    </row>
    <row r="289" spans="2:2" x14ac:dyDescent="0.25">
      <c r="B289" t="str">
        <f t="shared" ca="1" si="4"/>
        <v>2020 May</v>
      </c>
    </row>
    <row r="290" spans="2:2" x14ac:dyDescent="0.25">
      <c r="B290" t="str">
        <f t="shared" ca="1" si="4"/>
        <v>2020 May</v>
      </c>
    </row>
    <row r="291" spans="2:2" x14ac:dyDescent="0.25">
      <c r="B291" t="str">
        <f t="shared" ca="1" si="4"/>
        <v>2020 May</v>
      </c>
    </row>
    <row r="292" spans="2:2" x14ac:dyDescent="0.25">
      <c r="B292" t="str">
        <f t="shared" ca="1" si="4"/>
        <v>2020 June</v>
      </c>
    </row>
    <row r="293" spans="2:2" x14ac:dyDescent="0.25">
      <c r="B293" t="str">
        <f t="shared" ca="1" si="4"/>
        <v>2020 June</v>
      </c>
    </row>
    <row r="294" spans="2:2" x14ac:dyDescent="0.25">
      <c r="B294" t="str">
        <f t="shared" ca="1" si="4"/>
        <v>2020 June</v>
      </c>
    </row>
    <row r="295" spans="2:2" x14ac:dyDescent="0.25">
      <c r="B295" t="str">
        <f t="shared" ca="1" si="4"/>
        <v>2020 July</v>
      </c>
    </row>
    <row r="296" spans="2:2" x14ac:dyDescent="0.25">
      <c r="B296" t="str">
        <f t="shared" ca="1" si="4"/>
        <v>2020 July</v>
      </c>
    </row>
    <row r="297" spans="2:2" x14ac:dyDescent="0.25">
      <c r="B297" t="str">
        <f t="shared" ca="1" si="4"/>
        <v>2020 July</v>
      </c>
    </row>
    <row r="298" spans="2:2" x14ac:dyDescent="0.25">
      <c r="B298" t="str">
        <f t="shared" ca="1" si="4"/>
        <v>2020 August</v>
      </c>
    </row>
    <row r="299" spans="2:2" x14ac:dyDescent="0.25">
      <c r="B299" t="str">
        <f t="shared" ca="1" si="4"/>
        <v>2020 August</v>
      </c>
    </row>
    <row r="300" spans="2:2" x14ac:dyDescent="0.25">
      <c r="B300" t="str">
        <f t="shared" ca="1" si="4"/>
        <v>2020 August</v>
      </c>
    </row>
    <row r="301" spans="2:2" x14ac:dyDescent="0.25">
      <c r="B301" t="str">
        <f t="shared" ca="1" si="4"/>
        <v>2020 September</v>
      </c>
    </row>
    <row r="302" spans="2:2" x14ac:dyDescent="0.25">
      <c r="B302" t="str">
        <f t="shared" ca="1" si="4"/>
        <v>2020 September</v>
      </c>
    </row>
    <row r="303" spans="2:2" x14ac:dyDescent="0.25">
      <c r="B303" t="str">
        <f t="shared" ca="1" si="4"/>
        <v>2020 September</v>
      </c>
    </row>
    <row r="304" spans="2:2" x14ac:dyDescent="0.25">
      <c r="B304" t="str">
        <f t="shared" ca="1" si="4"/>
        <v>2020 October</v>
      </c>
    </row>
    <row r="305" spans="2:2" x14ac:dyDescent="0.25">
      <c r="B305" t="str">
        <f t="shared" ca="1" si="4"/>
        <v>2020 October</v>
      </c>
    </row>
    <row r="306" spans="2:2" x14ac:dyDescent="0.25">
      <c r="B306" t="str">
        <f t="shared" ca="1" si="4"/>
        <v>2020 October</v>
      </c>
    </row>
    <row r="307" spans="2:2" x14ac:dyDescent="0.25">
      <c r="B307" t="str">
        <f t="shared" ca="1" si="4"/>
        <v>2020 November</v>
      </c>
    </row>
    <row r="308" spans="2:2" x14ac:dyDescent="0.25">
      <c r="B308" t="str">
        <f t="shared" ca="1" si="4"/>
        <v>2020 November</v>
      </c>
    </row>
    <row r="309" spans="2:2" x14ac:dyDescent="0.25">
      <c r="B309" t="str">
        <f t="shared" ca="1" si="4"/>
        <v>2020 November</v>
      </c>
    </row>
    <row r="310" spans="2:2" x14ac:dyDescent="0.25">
      <c r="B310" t="str">
        <f t="shared" ca="1" si="4"/>
        <v>2020 December</v>
      </c>
    </row>
    <row r="311" spans="2:2" x14ac:dyDescent="0.25">
      <c r="B311" t="str">
        <f t="shared" ca="1" si="4"/>
        <v>2020 December</v>
      </c>
    </row>
    <row r="312" spans="2:2" x14ac:dyDescent="0.25">
      <c r="B312" t="str">
        <f t="shared" ca="1" si="4"/>
        <v>2020 December</v>
      </c>
    </row>
    <row r="313" spans="2:2" x14ac:dyDescent="0.25">
      <c r="B313" t="str">
        <f t="shared" ca="1" si="4"/>
        <v>2021 January</v>
      </c>
    </row>
    <row r="314" spans="2:2" x14ac:dyDescent="0.25">
      <c r="B314" t="str">
        <f t="shared" ca="1" si="4"/>
        <v>2021 January</v>
      </c>
    </row>
    <row r="315" spans="2:2" x14ac:dyDescent="0.25">
      <c r="B315" t="str">
        <f t="shared" ca="1" si="4"/>
        <v>2021 January</v>
      </c>
    </row>
    <row r="316" spans="2:2" x14ac:dyDescent="0.25">
      <c r="B316" t="str">
        <f t="shared" ca="1" si="4"/>
        <v>2021 February</v>
      </c>
    </row>
    <row r="317" spans="2:2" x14ac:dyDescent="0.25">
      <c r="B317" t="str">
        <f t="shared" ca="1" si="4"/>
        <v>2021 February</v>
      </c>
    </row>
    <row r="318" spans="2:2" x14ac:dyDescent="0.25">
      <c r="B318" t="str">
        <f t="shared" ca="1" si="4"/>
        <v>2021 February</v>
      </c>
    </row>
    <row r="319" spans="2:2" x14ac:dyDescent="0.25">
      <c r="B319" t="str">
        <f t="shared" ca="1" si="4"/>
        <v>2021 March</v>
      </c>
    </row>
    <row r="320" spans="2:2" x14ac:dyDescent="0.25">
      <c r="B320" t="str">
        <f t="shared" ca="1" si="4"/>
        <v>2021 March</v>
      </c>
    </row>
    <row r="321" spans="2:2" x14ac:dyDescent="0.25">
      <c r="B321" t="str">
        <f t="shared" ca="1" si="4"/>
        <v>2021 March</v>
      </c>
    </row>
    <row r="322" spans="2:2" x14ac:dyDescent="0.25">
      <c r="B322" t="str">
        <f t="shared" ca="1" si="4"/>
        <v>2021 April</v>
      </c>
    </row>
    <row r="323" spans="2:2" x14ac:dyDescent="0.25">
      <c r="B323" t="str">
        <f t="shared" ca="1" si="4"/>
        <v>2021 April</v>
      </c>
    </row>
    <row r="324" spans="2:2" x14ac:dyDescent="0.25">
      <c r="B324" t="str">
        <f t="shared" ca="1" si="4"/>
        <v>2021 April</v>
      </c>
    </row>
    <row r="325" spans="2:2" x14ac:dyDescent="0.25">
      <c r="B325" t="str">
        <f t="shared" ca="1" si="4"/>
        <v>2021 May</v>
      </c>
    </row>
    <row r="326" spans="2:2" x14ac:dyDescent="0.25">
      <c r="B326" t="str">
        <f t="shared" ca="1" si="4"/>
        <v>2021 May</v>
      </c>
    </row>
    <row r="327" spans="2:2" x14ac:dyDescent="0.25">
      <c r="B327" t="str">
        <f t="shared" ca="1" si="4"/>
        <v>2021 May</v>
      </c>
    </row>
    <row r="328" spans="2:2" x14ac:dyDescent="0.25">
      <c r="B328" t="str">
        <f t="shared" ca="1" si="4"/>
        <v>2021 June</v>
      </c>
    </row>
    <row r="329" spans="2:2" x14ac:dyDescent="0.25">
      <c r="B329" t="str">
        <f t="shared" ca="1" si="4"/>
        <v>2021 June</v>
      </c>
    </row>
    <row r="330" spans="2:2" x14ac:dyDescent="0.25">
      <c r="B330" t="str">
        <f t="shared" ca="1" si="4"/>
        <v>2021 June</v>
      </c>
    </row>
    <row r="331" spans="2:2" x14ac:dyDescent="0.25">
      <c r="B331" t="str">
        <f t="shared" ca="1" si="4"/>
        <v>2021 July</v>
      </c>
    </row>
    <row r="332" spans="2:2" x14ac:dyDescent="0.25">
      <c r="B332" t="str">
        <f t="shared" ca="1" si="4"/>
        <v>2021 July</v>
      </c>
    </row>
    <row r="333" spans="2:2" x14ac:dyDescent="0.25">
      <c r="B333" t="str">
        <f t="shared" ca="1" si="4"/>
        <v>2021 July</v>
      </c>
    </row>
    <row r="334" spans="2:2" x14ac:dyDescent="0.25">
      <c r="B334" t="str">
        <f t="shared" ca="1" si="4"/>
        <v>2021 August</v>
      </c>
    </row>
    <row r="335" spans="2:2" x14ac:dyDescent="0.25">
      <c r="B335" t="str">
        <f t="shared" ca="1" si="4"/>
        <v>2021 August</v>
      </c>
    </row>
    <row r="336" spans="2:2" x14ac:dyDescent="0.25">
      <c r="B336" t="str">
        <f t="shared" ca="1" si="4"/>
        <v>2021 August</v>
      </c>
    </row>
    <row r="337" spans="2:2" x14ac:dyDescent="0.25">
      <c r="B337" t="str">
        <f t="shared" ca="1" si="4"/>
        <v>2021 September</v>
      </c>
    </row>
    <row r="338" spans="2:2" x14ac:dyDescent="0.25">
      <c r="B338" t="str">
        <f t="shared" ca="1" si="4"/>
        <v>2021 September</v>
      </c>
    </row>
    <row r="339" spans="2:2" x14ac:dyDescent="0.25">
      <c r="B339" t="str">
        <f t="shared" ca="1" si="4"/>
        <v>2021 September</v>
      </c>
    </row>
    <row r="340" spans="2:2" x14ac:dyDescent="0.25">
      <c r="B340" t="str">
        <f t="shared" ca="1" si="4"/>
        <v>2021 October</v>
      </c>
    </row>
    <row r="341" spans="2:2" x14ac:dyDescent="0.25">
      <c r="B341" t="str">
        <f t="shared" ca="1" si="4"/>
        <v>2021 October</v>
      </c>
    </row>
    <row r="342" spans="2:2" x14ac:dyDescent="0.25">
      <c r="B342" t="str">
        <f t="shared" ca="1" si="4"/>
        <v>2021 October</v>
      </c>
    </row>
    <row r="343" spans="2:2" x14ac:dyDescent="0.25">
      <c r="B343" t="str">
        <f t="shared" ca="1" si="4"/>
        <v>2021 November</v>
      </c>
    </row>
    <row r="344" spans="2:2" x14ac:dyDescent="0.25">
      <c r="B344" t="str">
        <f t="shared" ca="1" si="4"/>
        <v>2021 November</v>
      </c>
    </row>
    <row r="345" spans="2:2" x14ac:dyDescent="0.25">
      <c r="B345" t="str">
        <f t="shared" ca="1" si="4"/>
        <v>2021 November</v>
      </c>
    </row>
    <row r="346" spans="2:2" x14ac:dyDescent="0.25">
      <c r="B346" t="str">
        <f t="shared" ca="1" si="4"/>
        <v>2021 December</v>
      </c>
    </row>
    <row r="347" spans="2:2" x14ac:dyDescent="0.25">
      <c r="B347" t="str">
        <f t="shared" ca="1" si="4"/>
        <v>2021 December</v>
      </c>
    </row>
    <row r="348" spans="2:2" x14ac:dyDescent="0.25">
      <c r="B348" t="str">
        <f t="shared" ca="1" si="4"/>
        <v>2021 December</v>
      </c>
    </row>
    <row r="349" spans="2:2" x14ac:dyDescent="0.25">
      <c r="B349" t="str">
        <f t="shared" ref="B349:B399" ca="1" si="5">CONCATENATE($B349," ",$C349)</f>
        <v>2022 January</v>
      </c>
    </row>
    <row r="350" spans="2:2" x14ac:dyDescent="0.25">
      <c r="B350" t="str">
        <f t="shared" ca="1" si="5"/>
        <v>2022 January</v>
      </c>
    </row>
    <row r="351" spans="2:2" x14ac:dyDescent="0.25">
      <c r="B351" t="str">
        <f t="shared" ca="1" si="5"/>
        <v>2022 January</v>
      </c>
    </row>
    <row r="352" spans="2:2" x14ac:dyDescent="0.25">
      <c r="B352" t="str">
        <f t="shared" ca="1" si="5"/>
        <v>2022 February</v>
      </c>
    </row>
    <row r="353" spans="2:2" x14ac:dyDescent="0.25">
      <c r="B353" t="str">
        <f t="shared" ca="1" si="5"/>
        <v>2022 February</v>
      </c>
    </row>
    <row r="354" spans="2:2" x14ac:dyDescent="0.25">
      <c r="B354" t="str">
        <f t="shared" ca="1" si="5"/>
        <v>2022 February</v>
      </c>
    </row>
    <row r="355" spans="2:2" x14ac:dyDescent="0.25">
      <c r="B355" t="str">
        <f t="shared" ca="1" si="5"/>
        <v>2022 March</v>
      </c>
    </row>
    <row r="356" spans="2:2" x14ac:dyDescent="0.25">
      <c r="B356" t="str">
        <f t="shared" ca="1" si="5"/>
        <v>2022 March</v>
      </c>
    </row>
    <row r="357" spans="2:2" x14ac:dyDescent="0.25">
      <c r="B357" t="str">
        <f t="shared" ca="1" si="5"/>
        <v>2022 March</v>
      </c>
    </row>
    <row r="358" spans="2:2" x14ac:dyDescent="0.25">
      <c r="B358" t="str">
        <f t="shared" ca="1" si="5"/>
        <v>2022 April</v>
      </c>
    </row>
    <row r="359" spans="2:2" x14ac:dyDescent="0.25">
      <c r="B359" t="str">
        <f t="shared" ca="1" si="5"/>
        <v>2022 April</v>
      </c>
    </row>
    <row r="360" spans="2:2" x14ac:dyDescent="0.25">
      <c r="B360" t="str">
        <f t="shared" ca="1" si="5"/>
        <v>2022 April</v>
      </c>
    </row>
    <row r="361" spans="2:2" x14ac:dyDescent="0.25">
      <c r="B361" t="str">
        <f t="shared" ca="1" si="5"/>
        <v>2022 May</v>
      </c>
    </row>
    <row r="362" spans="2:2" x14ac:dyDescent="0.25">
      <c r="B362" t="str">
        <f t="shared" ca="1" si="5"/>
        <v>2022 May</v>
      </c>
    </row>
    <row r="363" spans="2:2" x14ac:dyDescent="0.25">
      <c r="B363" t="str">
        <f t="shared" ca="1" si="5"/>
        <v>2022 May</v>
      </c>
    </row>
    <row r="364" spans="2:2" x14ac:dyDescent="0.25">
      <c r="B364" t="str">
        <f t="shared" ca="1" si="5"/>
        <v>2022 June</v>
      </c>
    </row>
    <row r="365" spans="2:2" x14ac:dyDescent="0.25">
      <c r="B365" t="str">
        <f t="shared" ca="1" si="5"/>
        <v>2022 June</v>
      </c>
    </row>
    <row r="366" spans="2:2" x14ac:dyDescent="0.25">
      <c r="B366" t="str">
        <f t="shared" ca="1" si="5"/>
        <v>2022 June</v>
      </c>
    </row>
    <row r="367" spans="2:2" x14ac:dyDescent="0.25">
      <c r="B367" t="str">
        <f t="shared" ca="1" si="5"/>
        <v>2022 July</v>
      </c>
    </row>
    <row r="368" spans="2:2" x14ac:dyDescent="0.25">
      <c r="B368" t="str">
        <f t="shared" ca="1" si="5"/>
        <v>2022 July</v>
      </c>
    </row>
    <row r="369" spans="2:2" x14ac:dyDescent="0.25">
      <c r="B369" t="str">
        <f t="shared" ca="1" si="5"/>
        <v>2022 July</v>
      </c>
    </row>
    <row r="370" spans="2:2" x14ac:dyDescent="0.25">
      <c r="B370" t="str">
        <f t="shared" ca="1" si="5"/>
        <v>2022 August</v>
      </c>
    </row>
    <row r="371" spans="2:2" x14ac:dyDescent="0.25">
      <c r="B371" t="str">
        <f t="shared" ca="1" si="5"/>
        <v>2022 August</v>
      </c>
    </row>
    <row r="372" spans="2:2" x14ac:dyDescent="0.25">
      <c r="B372" t="str">
        <f t="shared" ca="1" si="5"/>
        <v>2022 August</v>
      </c>
    </row>
    <row r="373" spans="2:2" x14ac:dyDescent="0.25">
      <c r="B373" t="str">
        <f t="shared" ca="1" si="5"/>
        <v>2022 September</v>
      </c>
    </row>
    <row r="374" spans="2:2" x14ac:dyDescent="0.25">
      <c r="B374" t="str">
        <f t="shared" ca="1" si="5"/>
        <v>2022 September</v>
      </c>
    </row>
    <row r="375" spans="2:2" x14ac:dyDescent="0.25">
      <c r="B375" t="str">
        <f t="shared" ca="1" si="5"/>
        <v>2022 September</v>
      </c>
    </row>
    <row r="376" spans="2:2" x14ac:dyDescent="0.25">
      <c r="B376" t="str">
        <f t="shared" ca="1" si="5"/>
        <v>2022 October</v>
      </c>
    </row>
    <row r="377" spans="2:2" x14ac:dyDescent="0.25">
      <c r="B377" t="str">
        <f t="shared" ca="1" si="5"/>
        <v>2022 October</v>
      </c>
    </row>
    <row r="378" spans="2:2" x14ac:dyDescent="0.25">
      <c r="B378" t="str">
        <f t="shared" ca="1" si="5"/>
        <v>2022 October</v>
      </c>
    </row>
    <row r="379" spans="2:2" x14ac:dyDescent="0.25">
      <c r="B379" t="str">
        <f t="shared" ca="1" si="5"/>
        <v>2022 November</v>
      </c>
    </row>
    <row r="380" spans="2:2" x14ac:dyDescent="0.25">
      <c r="B380" t="str">
        <f t="shared" ca="1" si="5"/>
        <v>2022 November</v>
      </c>
    </row>
    <row r="381" spans="2:2" x14ac:dyDescent="0.25">
      <c r="B381" t="str">
        <f t="shared" ca="1" si="5"/>
        <v>2022 November</v>
      </c>
    </row>
    <row r="382" spans="2:2" x14ac:dyDescent="0.25">
      <c r="B382" t="str">
        <f t="shared" ca="1" si="5"/>
        <v>2022 December</v>
      </c>
    </row>
    <row r="383" spans="2:2" x14ac:dyDescent="0.25">
      <c r="B383" t="str">
        <f t="shared" ca="1" si="5"/>
        <v>2022 December</v>
      </c>
    </row>
    <row r="384" spans="2:2" x14ac:dyDescent="0.25">
      <c r="B384" t="str">
        <f t="shared" ca="1" si="5"/>
        <v>2022 December</v>
      </c>
    </row>
    <row r="385" spans="2:2" x14ac:dyDescent="0.25">
      <c r="B385" t="str">
        <f t="shared" ca="1" si="5"/>
        <v>2023 January</v>
      </c>
    </row>
    <row r="386" spans="2:2" x14ac:dyDescent="0.25">
      <c r="B386" t="str">
        <f t="shared" ca="1" si="5"/>
        <v>2023 January</v>
      </c>
    </row>
    <row r="387" spans="2:2" x14ac:dyDescent="0.25">
      <c r="B387" t="str">
        <f t="shared" ca="1" si="5"/>
        <v>2023 January</v>
      </c>
    </row>
    <row r="388" spans="2:2" x14ac:dyDescent="0.25">
      <c r="B388" t="str">
        <f t="shared" ca="1" si="5"/>
        <v>2023 February</v>
      </c>
    </row>
    <row r="389" spans="2:2" x14ac:dyDescent="0.25">
      <c r="B389" t="str">
        <f t="shared" ca="1" si="5"/>
        <v>2023 February</v>
      </c>
    </row>
    <row r="390" spans="2:2" x14ac:dyDescent="0.25">
      <c r="B390" t="str">
        <f t="shared" ca="1" si="5"/>
        <v>2023 February</v>
      </c>
    </row>
    <row r="391" spans="2:2" x14ac:dyDescent="0.25">
      <c r="B391" t="str">
        <f t="shared" ca="1" si="5"/>
        <v>2023 March</v>
      </c>
    </row>
    <row r="392" spans="2:2" x14ac:dyDescent="0.25">
      <c r="B392" t="str">
        <f t="shared" ca="1" si="5"/>
        <v>2023 March</v>
      </c>
    </row>
    <row r="393" spans="2:2" x14ac:dyDescent="0.25">
      <c r="B393" t="str">
        <f t="shared" ca="1" si="5"/>
        <v>2023 March</v>
      </c>
    </row>
    <row r="394" spans="2:2" x14ac:dyDescent="0.25">
      <c r="B394" t="str">
        <f t="shared" ca="1" si="5"/>
        <v>2023 April</v>
      </c>
    </row>
    <row r="395" spans="2:2" x14ac:dyDescent="0.25">
      <c r="B395" t="str">
        <f t="shared" ca="1" si="5"/>
        <v>2023 April</v>
      </c>
    </row>
    <row r="396" spans="2:2" x14ac:dyDescent="0.25">
      <c r="B396" t="str">
        <f t="shared" ca="1" si="5"/>
        <v>2023 April</v>
      </c>
    </row>
    <row r="397" spans="2:2" x14ac:dyDescent="0.25">
      <c r="B397" t="str">
        <f t="shared" ca="1" si="5"/>
        <v>2023 May</v>
      </c>
    </row>
    <row r="398" spans="2:2" x14ac:dyDescent="0.25">
      <c r="B398" t="str">
        <f t="shared" ca="1" si="5"/>
        <v>2023 May</v>
      </c>
    </row>
    <row r="399" spans="2:2" x14ac:dyDescent="0.25">
      <c r="B399" t="str">
        <f t="shared" ca="1" si="5"/>
        <v>2023 May</v>
      </c>
    </row>
  </sheetData>
  <mergeCells count="1">
    <mergeCell ref="AR3:AS3"/>
  </mergeCells>
  <conditionalFormatting sqref="F7:F17">
    <cfRule type="colorScale" priority="15">
      <colorScale>
        <cfvo type="min"/>
        <cfvo type="percentile" val="50"/>
        <cfvo type="max"/>
        <color rgb="FFF8696B"/>
        <color rgb="FFFFEB84"/>
        <color rgb="FF63BE7B"/>
      </colorScale>
    </cfRule>
  </conditionalFormatting>
  <conditionalFormatting sqref="N5:N15">
    <cfRule type="colorScale" priority="14">
      <colorScale>
        <cfvo type="min"/>
        <cfvo type="percentile" val="50"/>
        <cfvo type="max"/>
        <color rgb="FFF8696B"/>
        <color rgb="FFFFEB84"/>
        <color rgb="FF63BE7B"/>
      </colorScale>
    </cfRule>
  </conditionalFormatting>
  <conditionalFormatting sqref="P5:P15">
    <cfRule type="colorScale" priority="13">
      <colorScale>
        <cfvo type="min"/>
        <cfvo type="percentile" val="50"/>
        <cfvo type="max"/>
        <color rgb="FFF8696B"/>
        <color rgb="FFFFEB84"/>
        <color rgb="FF63BE7B"/>
      </colorScale>
    </cfRule>
  </conditionalFormatting>
  <conditionalFormatting sqref="R5:R15">
    <cfRule type="colorScale" priority="12">
      <colorScale>
        <cfvo type="min"/>
        <cfvo type="percentile" val="50"/>
        <cfvo type="max"/>
        <color rgb="FFF8696B"/>
        <color rgb="FFFFEB84"/>
        <color rgb="FF63BE7B"/>
      </colorScale>
    </cfRule>
  </conditionalFormatting>
  <conditionalFormatting sqref="T5:T15">
    <cfRule type="colorScale" priority="11">
      <colorScale>
        <cfvo type="min"/>
        <cfvo type="percentile" val="50"/>
        <cfvo type="max"/>
        <color rgb="FFF8696B"/>
        <color rgb="FFFFEB84"/>
        <color rgb="FF63BE7B"/>
      </colorScale>
    </cfRule>
  </conditionalFormatting>
  <conditionalFormatting sqref="V5:V15">
    <cfRule type="colorScale" priority="10">
      <colorScale>
        <cfvo type="min"/>
        <cfvo type="percentile" val="50"/>
        <cfvo type="max"/>
        <color rgb="FFF8696B"/>
        <color rgb="FFFFEB84"/>
        <color rgb="FF63BE7B"/>
      </colorScale>
    </cfRule>
  </conditionalFormatting>
  <conditionalFormatting sqref="X5:X15">
    <cfRule type="colorScale" priority="9">
      <colorScale>
        <cfvo type="min"/>
        <cfvo type="percentile" val="50"/>
        <cfvo type="max"/>
        <color rgb="FFF8696B"/>
        <color rgb="FFFFEB84"/>
        <color rgb="FF63BE7B"/>
      </colorScale>
    </cfRule>
  </conditionalFormatting>
  <conditionalFormatting sqref="Z5:Z15">
    <cfRule type="colorScale" priority="8">
      <colorScale>
        <cfvo type="min"/>
        <cfvo type="percentile" val="50"/>
        <cfvo type="max"/>
        <color rgb="FFF8696B"/>
        <color rgb="FFFFEB84"/>
        <color rgb="FF63BE7B"/>
      </colorScale>
    </cfRule>
  </conditionalFormatting>
  <conditionalFormatting sqref="AB5:AB15">
    <cfRule type="colorScale" priority="7">
      <colorScale>
        <cfvo type="min"/>
        <cfvo type="percentile" val="50"/>
        <cfvo type="max"/>
        <color rgb="FFF8696B"/>
        <color rgb="FFFFEB84"/>
        <color rgb="FF63BE7B"/>
      </colorScale>
    </cfRule>
  </conditionalFormatting>
  <conditionalFormatting sqref="AD5:AD15">
    <cfRule type="colorScale" priority="6">
      <colorScale>
        <cfvo type="min"/>
        <cfvo type="percentile" val="50"/>
        <cfvo type="max"/>
        <color rgb="FFF8696B"/>
        <color rgb="FFFFEB84"/>
        <color rgb="FF63BE7B"/>
      </colorScale>
    </cfRule>
  </conditionalFormatting>
  <conditionalFormatting sqref="AF5:AF15">
    <cfRule type="colorScale" priority="5">
      <colorScale>
        <cfvo type="min"/>
        <cfvo type="percentile" val="50"/>
        <cfvo type="max"/>
        <color rgb="FFF8696B"/>
        <color rgb="FFFFEB84"/>
        <color rgb="FF63BE7B"/>
      </colorScale>
    </cfRule>
  </conditionalFormatting>
  <conditionalFormatting sqref="AH5:AH15">
    <cfRule type="colorScale" priority="4">
      <colorScale>
        <cfvo type="min"/>
        <cfvo type="percentile" val="50"/>
        <cfvo type="max"/>
        <color rgb="FFF8696B"/>
        <color rgb="FFFFEB84"/>
        <color rgb="FF63BE7B"/>
      </colorScale>
    </cfRule>
  </conditionalFormatting>
  <conditionalFormatting sqref="AJ5:AJ15">
    <cfRule type="colorScale" priority="3">
      <colorScale>
        <cfvo type="min"/>
        <cfvo type="percentile" val="50"/>
        <cfvo type="max"/>
        <color rgb="FFF8696B"/>
        <color rgb="FFFFEB84"/>
        <color rgb="FF63BE7B"/>
      </colorScale>
    </cfRule>
  </conditionalFormatting>
  <conditionalFormatting sqref="AL5:AL15">
    <cfRule type="colorScale" priority="2">
      <colorScale>
        <cfvo type="min"/>
        <cfvo type="percentile" val="50"/>
        <cfvo type="max"/>
        <color rgb="FFF8696B"/>
        <color rgb="FFFFEB84"/>
        <color rgb="FF63BE7B"/>
      </colorScale>
    </cfRule>
  </conditionalFormatting>
  <conditionalFormatting sqref="AS4:AS16">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AEF9C-5321-413B-8B0C-850146753D46}">
  <dimension ref="F4:BF28"/>
  <sheetViews>
    <sheetView workbookViewId="0">
      <selection activeCell="BF21" sqref="BF21"/>
    </sheetView>
  </sheetViews>
  <sheetFormatPr defaultRowHeight="15" x14ac:dyDescent="0.25"/>
  <cols>
    <col min="3" max="3" width="20.28515625" bestFit="1" customWidth="1"/>
    <col min="6" max="6" width="15.42578125" bestFit="1" customWidth="1"/>
    <col min="7" max="7" width="20.85546875" bestFit="1" customWidth="1"/>
    <col min="23" max="23" width="15.42578125" bestFit="1" customWidth="1"/>
    <col min="24" max="24" width="21.85546875" bestFit="1" customWidth="1"/>
    <col min="39" max="39" width="15.42578125" bestFit="1" customWidth="1"/>
    <col min="40" max="40" width="19.7109375" bestFit="1" customWidth="1"/>
    <col min="56" max="56" width="15.42578125" bestFit="1" customWidth="1"/>
    <col min="57" max="57" width="19.85546875" bestFit="1" customWidth="1"/>
  </cols>
  <sheetData>
    <row r="4" spans="6:58" x14ac:dyDescent="0.25">
      <c r="F4" s="22" t="s">
        <v>224</v>
      </c>
      <c r="G4" s="22" t="s">
        <v>223</v>
      </c>
      <c r="H4" s="22" t="s">
        <v>73</v>
      </c>
      <c r="W4" s="36" t="s">
        <v>224</v>
      </c>
      <c r="X4" s="36" t="s">
        <v>62</v>
      </c>
      <c r="Y4" s="36" t="s">
        <v>73</v>
      </c>
      <c r="AM4" s="36" t="s">
        <v>224</v>
      </c>
      <c r="AN4" s="36" t="s">
        <v>225</v>
      </c>
      <c r="AO4" s="36" t="s">
        <v>73</v>
      </c>
      <c r="BD4" s="36" t="s">
        <v>224</v>
      </c>
      <c r="BE4" s="36" t="s">
        <v>232</v>
      </c>
      <c r="BF4" s="36" t="s">
        <v>73</v>
      </c>
    </row>
    <row r="5" spans="6:58" x14ac:dyDescent="0.25">
      <c r="F5" s="17" t="s">
        <v>222</v>
      </c>
      <c r="G5" s="17">
        <v>5292.5</v>
      </c>
      <c r="H5" s="17"/>
      <c r="W5" s="17" t="s">
        <v>222</v>
      </c>
      <c r="X5" s="17">
        <v>435.8</v>
      </c>
      <c r="Y5" s="17"/>
      <c r="AM5" s="17" t="s">
        <v>222</v>
      </c>
      <c r="AN5" s="17">
        <v>414.5</v>
      </c>
      <c r="AO5" s="17"/>
      <c r="BD5" s="17" t="s">
        <v>222</v>
      </c>
      <c r="BE5" s="17">
        <v>452.5</v>
      </c>
      <c r="BF5" s="17"/>
    </row>
    <row r="6" spans="6:58" x14ac:dyDescent="0.25">
      <c r="F6" s="17" t="s">
        <v>190</v>
      </c>
      <c r="G6" s="17">
        <f>SUMIFS('CIP-Main data'!$AG$1:$AG$373,'CIP-Main data'!$D$1:$D$373,'Ana-4'!$F6)</f>
        <v>5385.5000000000009</v>
      </c>
      <c r="H6" s="18">
        <f>(G6-G5)/G5</f>
        <v>1.7572035899858462E-2</v>
      </c>
      <c r="W6" s="17" t="s">
        <v>190</v>
      </c>
      <c r="X6" s="17">
        <f>SUMIFS('CIP-Main data'!$AK$1:$AK$373,'CIP-Main data'!$D$1:$D$373,'Ana-4'!$W6)</f>
        <v>438</v>
      </c>
      <c r="Y6" s="18">
        <f>(X6-X5)/X5</f>
        <v>5.048187241854035E-3</v>
      </c>
      <c r="AM6" s="17" t="s">
        <v>190</v>
      </c>
      <c r="AN6" s="17">
        <f>SUMIFS('CIP-Main data'!$AM$1:$AM$373,'CIP-Main data'!$D$1:$D$373,'Ana-4'!$AM6)</f>
        <v>419.09999999999997</v>
      </c>
      <c r="AO6" s="18">
        <f>(AN6-AN5)/AN5</f>
        <v>1.1097708082026456E-2</v>
      </c>
      <c r="BD6" s="17" t="s">
        <v>190</v>
      </c>
      <c r="BE6" s="17">
        <f>SUMIFS('CIP-Main data'!$AN$1:$AN$373,'CIP-Main data'!$D$1:$D$373,'Ana-4'!$BD6)</f>
        <v>456.29999999999995</v>
      </c>
      <c r="BF6" s="18">
        <f>(BE6-BE5)/BE5</f>
        <v>8.397790055248518E-3</v>
      </c>
    </row>
    <row r="7" spans="6:58" x14ac:dyDescent="0.25">
      <c r="F7" s="17" t="s">
        <v>188</v>
      </c>
      <c r="G7" s="17">
        <f>SUMIFS('CIP-Main data'!$AG$1:$AG$373,'CIP-Main data'!$D$1:$D$373,'Ana-4'!$F7)</f>
        <v>5451.5999999999995</v>
      </c>
      <c r="H7" s="18">
        <f>(G7-G6)/G6</f>
        <v>1.2273697892488819E-2</v>
      </c>
      <c r="W7" s="17" t="s">
        <v>188</v>
      </c>
      <c r="X7" s="17">
        <f>SUMIFS('CIP-Main data'!$AK$1:$AK$373,'CIP-Main data'!$D$1:$D$373,'Ana-4'!$W7)</f>
        <v>439.4</v>
      </c>
      <c r="Y7" s="18">
        <f>(X7-X6)/X6</f>
        <v>3.1963470319634184E-3</v>
      </c>
      <c r="AM7" s="17" t="s">
        <v>188</v>
      </c>
      <c r="AN7" s="17">
        <f>SUMIFS('CIP-Main data'!$AM$1:$AM$373,'CIP-Main data'!$D$1:$D$373,'Ana-4'!$AM7)</f>
        <v>420.30000000000007</v>
      </c>
      <c r="AO7" s="18">
        <f>(AN7-AN6)/AN6</f>
        <v>2.8632784538298794E-3</v>
      </c>
      <c r="BD7" s="17" t="s">
        <v>188</v>
      </c>
      <c r="BE7" s="17">
        <f>SUMIFS('CIP-Main data'!$AN$1:$AN$373,'CIP-Main data'!$D$1:$D$373,'Ana-4'!$BD7)</f>
        <v>459.1</v>
      </c>
      <c r="BF7" s="18">
        <f>(BE7-BE6)/BE6</f>
        <v>6.1363138286216713E-3</v>
      </c>
    </row>
    <row r="8" spans="6:58" x14ac:dyDescent="0.25">
      <c r="F8" s="17" t="s">
        <v>187</v>
      </c>
      <c r="G8" s="17">
        <f>SUMIFS('CIP-Main data'!$AG$1:$AG$373,'CIP-Main data'!$D$1:$D$373,'Ana-4'!$F8)</f>
        <v>5521.7999999999993</v>
      </c>
      <c r="H8" s="18">
        <f t="shared" ref="H8:H27" si="0">(G8-G7)/G7</f>
        <v>1.2876953554919624E-2</v>
      </c>
      <c r="W8" s="17" t="s">
        <v>187</v>
      </c>
      <c r="X8" s="17">
        <f>SUMIFS('CIP-Main data'!$AK$1:$AK$373,'CIP-Main data'!$D$1:$D$373,'Ana-4'!$W8)</f>
        <v>440.9</v>
      </c>
      <c r="Y8" s="18">
        <f t="shared" ref="Y8:Y27" si="1">(X8-X7)/X7</f>
        <v>3.4137460172963133E-3</v>
      </c>
      <c r="AM8" s="17" t="s">
        <v>187</v>
      </c>
      <c r="AN8" s="17">
        <f>SUMIFS('CIP-Main data'!$AM$1:$AM$373,'CIP-Main data'!$D$1:$D$373,'Ana-4'!$AM8)</f>
        <v>423</v>
      </c>
      <c r="AO8" s="18">
        <f t="shared" ref="AO8:AO27" si="2">(AN8-AN7)/AN7</f>
        <v>6.4239828693788519E-3</v>
      </c>
      <c r="BD8" s="17" t="s">
        <v>187</v>
      </c>
      <c r="BE8" s="17">
        <f>SUMIFS('CIP-Main data'!$AN$1:$AN$373,'CIP-Main data'!$D$1:$D$373,'Ana-4'!$BD8)</f>
        <v>463.5</v>
      </c>
      <c r="BF8" s="18">
        <f t="shared" ref="BF8:BF28" si="3">(BE8-BE7)/BE7</f>
        <v>9.5839686342844201E-3</v>
      </c>
    </row>
    <row r="9" spans="6:58" x14ac:dyDescent="0.25">
      <c r="F9" s="17" t="s">
        <v>183</v>
      </c>
      <c r="G9" s="17">
        <f>SUMIFS('CIP-Main data'!$AG$1:$AG$373,'CIP-Main data'!$D$1:$D$373,'Ana-4'!$F9)</f>
        <v>5550.1</v>
      </c>
      <c r="H9" s="18">
        <f t="shared" si="0"/>
        <v>5.1251403527837113E-3</v>
      </c>
      <c r="W9" s="17" t="s">
        <v>183</v>
      </c>
      <c r="X9" s="17">
        <f>SUMIFS('CIP-Main data'!$AK$1:$AK$373,'CIP-Main data'!$D$1:$D$373,'Ana-4'!$W9)</f>
        <v>442.7</v>
      </c>
      <c r="Y9" s="18">
        <f t="shared" si="1"/>
        <v>4.0825584032660725E-3</v>
      </c>
      <c r="AM9" s="17" t="s">
        <v>183</v>
      </c>
      <c r="AN9" s="17">
        <f>SUMIFS('CIP-Main data'!$AM$1:$AM$373,'CIP-Main data'!$D$1:$D$373,'Ana-4'!$AM9)</f>
        <v>424.29999999999995</v>
      </c>
      <c r="AO9" s="18">
        <f t="shared" si="2"/>
        <v>3.0732860520093488E-3</v>
      </c>
      <c r="BD9" s="17" t="s">
        <v>183</v>
      </c>
      <c r="BE9" s="17">
        <f>SUMIFS('CIP-Main data'!$AN$1:$AN$373,'CIP-Main data'!$D$1:$D$373,'Ana-4'!$BD9)</f>
        <v>466.1</v>
      </c>
      <c r="BF9" s="18">
        <f t="shared" si="3"/>
        <v>5.6094929881338141E-3</v>
      </c>
    </row>
    <row r="10" spans="6:58" x14ac:dyDescent="0.25">
      <c r="F10" s="17" t="s">
        <v>193</v>
      </c>
      <c r="G10" s="17">
        <f>SUMIFS('CIP-Main data'!$AG$1:$AG$373,'CIP-Main data'!$D$1:$D$373,'Ana-4'!$F10)</f>
        <v>5581.3</v>
      </c>
      <c r="H10" s="18">
        <f t="shared" si="0"/>
        <v>5.6215203329669401E-3</v>
      </c>
      <c r="W10" s="17" t="s">
        <v>193</v>
      </c>
      <c r="X10" s="17">
        <f>SUMIFS('CIP-Main data'!$AK$1:$AK$373,'CIP-Main data'!$D$1:$D$373,'Ana-4'!$W10)</f>
        <v>444.3</v>
      </c>
      <c r="Y10" s="18">
        <f t="shared" si="1"/>
        <v>3.6141856787892993E-3</v>
      </c>
      <c r="AM10" s="17" t="s">
        <v>193</v>
      </c>
      <c r="AN10" s="17">
        <f>SUMIFS('CIP-Main data'!$AM$1:$AM$373,'CIP-Main data'!$D$1:$D$373,'Ana-4'!$AM10)</f>
        <v>425.50000000000006</v>
      </c>
      <c r="AO10" s="18">
        <f t="shared" si="2"/>
        <v>2.8281876031112478E-3</v>
      </c>
      <c r="BD10" s="17" t="s">
        <v>193</v>
      </c>
      <c r="BE10" s="17">
        <f>SUMIFS('CIP-Main data'!$AN$1:$AN$373,'CIP-Main data'!$D$1:$D$373,'Ana-4'!$BD10)</f>
        <v>466.99999999999994</v>
      </c>
      <c r="BF10" s="18">
        <f t="shared" si="3"/>
        <v>1.9309161124220562E-3</v>
      </c>
    </row>
    <row r="11" spans="6:58" x14ac:dyDescent="0.25">
      <c r="F11" s="17" t="s">
        <v>192</v>
      </c>
      <c r="G11" s="17">
        <f>SUMIFS('CIP-Main data'!$AG$1:$AG$373,'CIP-Main data'!$D$1:$D$373,'Ana-4'!$F11)</f>
        <v>5665.0999999999995</v>
      </c>
      <c r="H11" s="18">
        <f t="shared" si="0"/>
        <v>1.5014423163062238E-2</v>
      </c>
      <c r="S11" t="s">
        <v>226</v>
      </c>
      <c r="W11" s="17" t="s">
        <v>192</v>
      </c>
      <c r="X11" s="17">
        <f>SUMIFS('CIP-Main data'!$AK$1:$AK$373,'CIP-Main data'!$D$1:$D$373,'Ana-4'!$W11)</f>
        <v>445.5</v>
      </c>
      <c r="Y11" s="18">
        <f t="shared" si="1"/>
        <v>2.7008777852801902E-3</v>
      </c>
      <c r="AM11" s="17" t="s">
        <v>192</v>
      </c>
      <c r="AN11" s="17">
        <f>SUMIFS('CIP-Main data'!$AM$1:$AM$373,'CIP-Main data'!$D$1:$D$373,'Ana-4'!$AM11)</f>
        <v>426.59999999999997</v>
      </c>
      <c r="AO11" s="18">
        <f t="shared" si="2"/>
        <v>2.5851938895415016E-3</v>
      </c>
      <c r="BD11" s="17" t="s">
        <v>192</v>
      </c>
      <c r="BE11" s="17">
        <f>SUMIFS('CIP-Main data'!$AN$1:$AN$373,'CIP-Main data'!$D$1:$D$373,'Ana-4'!$BD11)</f>
        <v>467.79999999999995</v>
      </c>
      <c r="BF11" s="18">
        <f t="shared" si="3"/>
        <v>1.7130620985010953E-3</v>
      </c>
    </row>
    <row r="12" spans="6:58" x14ac:dyDescent="0.25">
      <c r="F12" s="17" t="s">
        <v>191</v>
      </c>
      <c r="G12" s="17">
        <f>SUMIFS('CIP-Main data'!$AG$1:$AG$373,'CIP-Main data'!$D$1:$D$373,'Ana-4'!$F12)</f>
        <v>5739.5</v>
      </c>
      <c r="H12" s="18">
        <f t="shared" si="0"/>
        <v>1.3133042664736819E-2</v>
      </c>
      <c r="W12" s="17" t="s">
        <v>191</v>
      </c>
      <c r="X12" s="17">
        <f>SUMIFS('CIP-Main data'!$AK$1:$AK$373,'CIP-Main data'!$D$1:$D$373,'Ana-4'!$W12)</f>
        <v>447</v>
      </c>
      <c r="Y12" s="18">
        <f t="shared" si="1"/>
        <v>3.3670033670033669E-3</v>
      </c>
      <c r="AM12" s="17" t="s">
        <v>191</v>
      </c>
      <c r="AN12" s="17">
        <f>SUMIFS('CIP-Main data'!$AM$1:$AM$373,'CIP-Main data'!$D$1:$D$373,'Ana-4'!$AM12)</f>
        <v>427.9</v>
      </c>
      <c r="AO12" s="18">
        <f t="shared" si="2"/>
        <v>3.0473511486169983E-3</v>
      </c>
      <c r="BD12" s="17" t="s">
        <v>191</v>
      </c>
      <c r="BE12" s="17">
        <f>SUMIFS('CIP-Main data'!$AN$1:$AN$373,'CIP-Main data'!$D$1:$D$373,'Ana-4'!$BD12)</f>
        <v>468.1</v>
      </c>
      <c r="BF12" s="18">
        <f t="shared" si="3"/>
        <v>6.4129970072695217E-4</v>
      </c>
    </row>
    <row r="13" spans="6:58" x14ac:dyDescent="0.25">
      <c r="F13" s="17" t="s">
        <v>184</v>
      </c>
      <c r="G13" s="17">
        <f>SUMIFS('CIP-Main data'!$AG$1:$AG$373,'CIP-Main data'!$D$1:$D$373,'Ana-4'!$F13)</f>
        <v>5843.8</v>
      </c>
      <c r="H13" s="18">
        <f t="shared" si="0"/>
        <v>1.8172314661555916E-2</v>
      </c>
      <c r="W13" s="17" t="s">
        <v>184</v>
      </c>
      <c r="X13" s="17">
        <f>SUMIFS('CIP-Main data'!$AK$1:$AK$373,'CIP-Main data'!$D$1:$D$373,'Ana-4'!$W13)</f>
        <v>448.4</v>
      </c>
      <c r="Y13" s="18">
        <f t="shared" si="1"/>
        <v>3.1319910514540877E-3</v>
      </c>
      <c r="AM13" s="17" t="s">
        <v>184</v>
      </c>
      <c r="AN13" s="17">
        <f>SUMIFS('CIP-Main data'!$AM$1:$AM$373,'CIP-Main data'!$D$1:$D$373,'Ana-4'!$AM13)</f>
        <v>428.6</v>
      </c>
      <c r="AO13" s="18">
        <f t="shared" si="2"/>
        <v>1.6358962374387602E-3</v>
      </c>
      <c r="BD13" s="17" t="s">
        <v>184</v>
      </c>
      <c r="BE13" s="17">
        <f>SUMIFS('CIP-Main data'!$AN$1:$AN$373,'CIP-Main data'!$D$1:$D$373,'Ana-4'!$BD13)</f>
        <v>468.7</v>
      </c>
      <c r="BF13" s="18">
        <f t="shared" si="3"/>
        <v>1.2817773979918092E-3</v>
      </c>
    </row>
    <row r="14" spans="6:58" x14ac:dyDescent="0.25">
      <c r="F14" s="17" t="s">
        <v>198</v>
      </c>
      <c r="G14" s="17">
        <f>SUMIFS('CIP-Main data'!$AG$1:$AG$373,'CIP-Main data'!$D$1:$D$373,'Ana-4'!$F14)</f>
        <v>5824.4</v>
      </c>
      <c r="H14" s="18">
        <f t="shared" si="0"/>
        <v>-3.3197576919128898E-3</v>
      </c>
      <c r="W14" s="17" t="s">
        <v>198</v>
      </c>
      <c r="X14" s="17">
        <f>SUMIFS('CIP-Main data'!$AK$1:$AK$373,'CIP-Main data'!$D$1:$D$373,'Ana-4'!$W14)</f>
        <v>450.7</v>
      </c>
      <c r="Y14" s="18">
        <f t="shared" si="1"/>
        <v>5.1293487957181343E-3</v>
      </c>
      <c r="AM14" s="17" t="s">
        <v>198</v>
      </c>
      <c r="AN14" s="17">
        <f>SUMIFS('CIP-Main data'!$AM$1:$AM$373,'CIP-Main data'!$D$1:$D$373,'Ana-4'!$AM14)</f>
        <v>430.09999999999997</v>
      </c>
      <c r="AO14" s="18">
        <f t="shared" si="2"/>
        <v>3.4997666822210523E-3</v>
      </c>
      <c r="BD14" s="17" t="s">
        <v>198</v>
      </c>
      <c r="BE14" s="17">
        <f>SUMIFS('CIP-Main data'!$AN$1:$AN$373,'CIP-Main data'!$D$1:$D$373,'Ana-4'!$BD14)</f>
        <v>469.9</v>
      </c>
      <c r="BF14" s="18">
        <f t="shared" si="3"/>
        <v>2.560273095796861E-3</v>
      </c>
    </row>
    <row r="15" spans="6:58" x14ac:dyDescent="0.25">
      <c r="F15" s="17" t="s">
        <v>197</v>
      </c>
      <c r="G15" s="17">
        <f>SUMIFS('CIP-Main data'!$AG$1:$AG$373,'CIP-Main data'!$D$1:$D$373,'Ana-4'!$F15)</f>
        <v>5738</v>
      </c>
      <c r="H15" s="18">
        <f t="shared" si="0"/>
        <v>-1.4834146006455539E-2</v>
      </c>
      <c r="W15" s="17" t="s">
        <v>197</v>
      </c>
      <c r="X15" s="17">
        <f>SUMIFS('CIP-Main data'!$AK$1:$AK$373,'CIP-Main data'!$D$1:$D$373,'Ana-4'!$W15)</f>
        <v>452.3</v>
      </c>
      <c r="Y15" s="18">
        <f t="shared" si="1"/>
        <v>3.5500332815620651E-3</v>
      </c>
      <c r="AM15" s="17" t="s">
        <v>197</v>
      </c>
      <c r="AN15" s="17">
        <f>SUMIFS('CIP-Main data'!$AM$1:$AM$373,'CIP-Main data'!$D$1:$D$373,'Ana-4'!$AM15)</f>
        <v>431.3</v>
      </c>
      <c r="AO15" s="18">
        <f t="shared" si="2"/>
        <v>2.7900488258545586E-3</v>
      </c>
      <c r="BD15" s="17" t="s">
        <v>197</v>
      </c>
      <c r="BE15" s="17">
        <f>SUMIFS('CIP-Main data'!$AN$1:$AN$373,'CIP-Main data'!$D$1:$D$373,'Ana-4'!$BD15)</f>
        <v>470.3</v>
      </c>
      <c r="BF15" s="18">
        <f t="shared" si="3"/>
        <v>8.5124494573320737E-4</v>
      </c>
    </row>
    <row r="16" spans="6:58" x14ac:dyDescent="0.25">
      <c r="F16" s="17" t="s">
        <v>201</v>
      </c>
      <c r="G16" s="17">
        <f>SUMIFS('CIP-Main data'!$AG$1:$AG$373,'CIP-Main data'!$D$1:$D$373,'Ana-4'!$F16)</f>
        <v>5688.5</v>
      </c>
      <c r="H16" s="18">
        <f t="shared" si="0"/>
        <v>-8.6266991983269432E-3</v>
      </c>
      <c r="W16" s="17" t="s">
        <v>201</v>
      </c>
      <c r="X16" s="17">
        <f>SUMIFS('CIP-Main data'!$AK$1:$AK$373,'CIP-Main data'!$D$1:$D$373,'Ana-4'!$W16)</f>
        <v>454</v>
      </c>
      <c r="Y16" s="18">
        <f t="shared" si="1"/>
        <v>3.7585673225734879E-3</v>
      </c>
      <c r="AM16" s="17" t="s">
        <v>201</v>
      </c>
      <c r="AN16" s="17">
        <f>SUMIFS('CIP-Main data'!$AM$1:$AM$373,'CIP-Main data'!$D$1:$D$373,'Ana-4'!$AM16)</f>
        <v>432.8</v>
      </c>
      <c r="AO16" s="18">
        <f t="shared" si="2"/>
        <v>3.4778576396939484E-3</v>
      </c>
      <c r="BD16" s="17" t="s">
        <v>201</v>
      </c>
      <c r="BE16" s="17">
        <f>SUMIFS('CIP-Main data'!$AN$1:$AN$373,'CIP-Main data'!$D$1:$D$373,'Ana-4'!$BD16)</f>
        <v>469.79999999999995</v>
      </c>
      <c r="BF16" s="18">
        <f t="shared" si="3"/>
        <v>-1.0631511800979307E-3</v>
      </c>
    </row>
    <row r="17" spans="6:58" x14ac:dyDescent="0.25">
      <c r="F17" s="17" t="s">
        <v>194</v>
      </c>
      <c r="G17" s="17">
        <f>SUMIFS('CIP-Main data'!$AG$1:$AG$373,'CIP-Main data'!$D$1:$D$373,'Ana-4'!$F17)</f>
        <v>5908.9</v>
      </c>
      <c r="H17" s="18">
        <f t="shared" si="0"/>
        <v>3.8744836072778351E-2</v>
      </c>
      <c r="W17" s="17" t="s">
        <v>194</v>
      </c>
      <c r="X17" s="17">
        <f>SUMIFS('CIP-Main data'!$AK$1:$AK$373,'CIP-Main data'!$D$1:$D$373,'Ana-4'!$W17)</f>
        <v>449.8</v>
      </c>
      <c r="Y17" s="18">
        <f t="shared" si="1"/>
        <v>-9.2511013215858789E-3</v>
      </c>
      <c r="AM17" s="17" t="s">
        <v>194</v>
      </c>
      <c r="AN17" s="25">
        <f>SUMIFS('CIP-Main data'!$AM$1:$AM$373,'CIP-Main data'!$D$1:$D$373,'Ana-4'!$AM17)</f>
        <v>438.65156249999995</v>
      </c>
      <c r="AO17" s="18">
        <f t="shared" si="2"/>
        <v>1.3520246072088593E-2</v>
      </c>
      <c r="BD17" s="17" t="s">
        <v>194</v>
      </c>
      <c r="BE17" s="31">
        <f>SUMIFS('CIP-Main data'!$AN$1:$AN$373,'CIP-Main data'!$D$1:$D$373,'Ana-4'!$BD17)</f>
        <v>468.89531250000005</v>
      </c>
      <c r="BF17" s="18">
        <f t="shared" si="3"/>
        <v>-1.9256864623242E-3</v>
      </c>
    </row>
    <row r="18" spans="6:58" x14ac:dyDescent="0.25">
      <c r="F18" s="17" t="s">
        <v>202</v>
      </c>
      <c r="G18" s="25">
        <f>SUMIFS('CIP-Main data'!$AG$1:$AG$373,'CIP-Main data'!$D$1:$D$373,'Ana-4'!$F18)</f>
        <v>6383.5015624999996</v>
      </c>
      <c r="H18" s="18">
        <f t="shared" si="0"/>
        <v>8.031978244681752E-2</v>
      </c>
      <c r="W18" s="17" t="s">
        <v>202</v>
      </c>
      <c r="X18" s="25">
        <f>SUMIFS('CIP-Main data'!$AK$1:$AK$373,'CIP-Main data'!$D$1:$D$373,'Ana-4'!$W18)</f>
        <v>454.46562499999999</v>
      </c>
      <c r="Y18" s="18">
        <f t="shared" si="1"/>
        <v>1.0372665629168469E-2</v>
      </c>
      <c r="AM18" s="17" t="s">
        <v>202</v>
      </c>
      <c r="AN18" s="25">
        <f>SUMIFS('CIP-Main data'!$AM$1:$AM$373,'CIP-Main data'!$D$1:$D$373,'Ana-4'!$AM18)</f>
        <v>444.54328613281245</v>
      </c>
      <c r="AO18" s="18">
        <f t="shared" si="2"/>
        <v>1.343144339720094E-2</v>
      </c>
      <c r="BD18" s="17" t="s">
        <v>202</v>
      </c>
      <c r="BE18" s="31">
        <f>SUMIFS('CIP-Main data'!$AN$1:$AN$373,'CIP-Main data'!$D$1:$D$373,'Ana-4'!$BD18)</f>
        <v>470.84904785156255</v>
      </c>
      <c r="BF18" s="18">
        <f t="shared" si="3"/>
        <v>4.166677080105167E-3</v>
      </c>
    </row>
    <row r="19" spans="6:58" x14ac:dyDescent="0.25">
      <c r="F19" s="17" t="s">
        <v>200</v>
      </c>
      <c r="G19" s="17">
        <f>SUMIFS('CIP-Main data'!$AG$1:$AG$373,'CIP-Main data'!$D$1:$D$373,'Ana-4'!$F19)</f>
        <v>5912.8</v>
      </c>
      <c r="H19" s="18">
        <f t="shared" si="0"/>
        <v>-7.3737204869682285E-2</v>
      </c>
      <c r="W19" s="17" t="s">
        <v>200</v>
      </c>
      <c r="X19" s="17">
        <f>SUMIFS('CIP-Main data'!$AK$1:$AK$373,'CIP-Main data'!$D$1:$D$373,'Ana-4'!$W19)</f>
        <v>460.69999999999993</v>
      </c>
      <c r="Y19" s="18">
        <f t="shared" si="1"/>
        <v>1.3718034229761478E-2</v>
      </c>
      <c r="AM19" s="17" t="s">
        <v>200</v>
      </c>
      <c r="AN19" s="17">
        <f>SUMIFS('CIP-Main data'!$AM$1:$AM$373,'CIP-Main data'!$D$1:$D$373,'Ana-4'!$AM19)</f>
        <v>446</v>
      </c>
      <c r="AO19" s="18">
        <f t="shared" si="2"/>
        <v>3.2768774439489237E-3</v>
      </c>
      <c r="BD19" s="17" t="s">
        <v>200</v>
      </c>
      <c r="BE19" s="17">
        <f>SUMIFS('CIP-Main data'!$AN$1:$AN$373,'CIP-Main data'!$D$1:$D$373,'Ana-4'!$BD19)</f>
        <v>470.70000000000005</v>
      </c>
      <c r="BF19" s="18">
        <f t="shared" si="3"/>
        <v>-3.1655124342417289E-4</v>
      </c>
    </row>
    <row r="20" spans="6:58" x14ac:dyDescent="0.25">
      <c r="F20" s="17" t="s">
        <v>199</v>
      </c>
      <c r="G20" s="17">
        <f>SUMIFS('CIP-Main data'!$AG$1:$AG$373,'CIP-Main data'!$D$1:$D$373,'Ana-4'!$F20)</f>
        <v>5912.8</v>
      </c>
      <c r="H20" s="18">
        <f t="shared" si="0"/>
        <v>0</v>
      </c>
      <c r="W20" s="17" t="s">
        <v>199</v>
      </c>
      <c r="X20" s="17">
        <f>SUMIFS('CIP-Main data'!$AK$1:$AK$373,'CIP-Main data'!$D$1:$D$373,'Ana-4'!$W20)</f>
        <v>460.69999999999993</v>
      </c>
      <c r="Y20" s="18">
        <f t="shared" si="1"/>
        <v>0</v>
      </c>
      <c r="AM20" s="17" t="s">
        <v>199</v>
      </c>
      <c r="AN20" s="17">
        <f>SUMIFS('CIP-Main data'!$AM$1:$AM$373,'CIP-Main data'!$D$1:$D$373,'Ana-4'!$AM20)</f>
        <v>446</v>
      </c>
      <c r="AO20" s="18">
        <f t="shared" si="2"/>
        <v>0</v>
      </c>
      <c r="BD20" s="17" t="s">
        <v>199</v>
      </c>
      <c r="BE20" s="17">
        <f>SUMIFS('CIP-Main data'!$AN$1:$AN$373,'CIP-Main data'!$D$1:$D$373,'Ana-4'!$BD20)</f>
        <v>470.70000000000005</v>
      </c>
      <c r="BF20" s="18">
        <f t="shared" si="3"/>
        <v>0</v>
      </c>
    </row>
    <row r="21" spans="6:58" x14ac:dyDescent="0.25">
      <c r="F21" s="17" t="s">
        <v>195</v>
      </c>
      <c r="G21" s="17">
        <f>SUMIFS('CIP-Main data'!$AG$1:$AG$373,'CIP-Main data'!$D$1:$D$373,'Ana-4'!$F21)</f>
        <v>5998.7</v>
      </c>
      <c r="H21" s="18">
        <f t="shared" si="0"/>
        <v>1.452780408605054E-2</v>
      </c>
      <c r="W21" s="17" t="s">
        <v>195</v>
      </c>
      <c r="X21" s="17">
        <f>SUMIFS('CIP-Main data'!$AK$1:$AK$373,'CIP-Main data'!$D$1:$D$373,'Ana-4'!$W21)</f>
        <v>462.5</v>
      </c>
      <c r="Y21" s="18">
        <f t="shared" si="1"/>
        <v>3.9070978945085055E-3</v>
      </c>
      <c r="AM21" s="17" t="s">
        <v>195</v>
      </c>
      <c r="AN21" s="17">
        <f>SUMIFS('CIP-Main data'!$AM$1:$AM$373,'CIP-Main data'!$D$1:$D$373,'Ana-4'!$AM21)</f>
        <v>439.4</v>
      </c>
      <c r="AO21" s="18">
        <f t="shared" si="2"/>
        <v>-1.4798206278026957E-2</v>
      </c>
      <c r="BD21" s="17" t="s">
        <v>195</v>
      </c>
      <c r="BE21" s="17">
        <f>SUMIFS('CIP-Main data'!$AN$1:$AN$373,'CIP-Main data'!$D$1:$D$373,'Ana-4'!$BD21)</f>
        <v>476.7</v>
      </c>
      <c r="BF21" s="18">
        <f t="shared" si="3"/>
        <v>1.2746972594008801E-2</v>
      </c>
    </row>
    <row r="22" spans="6:58" x14ac:dyDescent="0.25">
      <c r="F22" s="17" t="s">
        <v>205</v>
      </c>
      <c r="G22" s="17">
        <f>SUMIFS('CIP-Main data'!$AG$1:$AG$373,'CIP-Main data'!$D$1:$D$373,'Ana-4'!$F22)</f>
        <v>6036</v>
      </c>
      <c r="H22" s="18">
        <f t="shared" si="0"/>
        <v>6.2180139030123495E-3</v>
      </c>
      <c r="W22" s="17" t="s">
        <v>205</v>
      </c>
      <c r="X22" s="17">
        <f>SUMIFS('CIP-Main data'!$AK$1:$AK$373,'CIP-Main data'!$D$1:$D$373,'Ana-4'!$W22)</f>
        <v>464.70000000000005</v>
      </c>
      <c r="Y22" s="18">
        <f t="shared" si="1"/>
        <v>4.7567567567568551E-3</v>
      </c>
      <c r="AM22" s="17" t="s">
        <v>205</v>
      </c>
      <c r="AN22" s="17">
        <f>SUMIFS('CIP-Main data'!$AM$1:$AM$373,'CIP-Main data'!$D$1:$D$373,'Ana-4'!$AM22)</f>
        <v>441.20000000000005</v>
      </c>
      <c r="AO22" s="18">
        <f t="shared" si="2"/>
        <v>4.0964952207557309E-3</v>
      </c>
      <c r="BD22" s="17" t="s">
        <v>205</v>
      </c>
      <c r="BE22" s="17">
        <f>SUMIFS('CIP-Main data'!$AN$1:$AN$373,'CIP-Main data'!$D$1:$D$373,'Ana-4'!$BD22)</f>
        <v>473.5</v>
      </c>
      <c r="BF22" s="18">
        <f t="shared" si="3"/>
        <v>-6.7128172855044866E-3</v>
      </c>
    </row>
    <row r="23" spans="6:58" x14ac:dyDescent="0.25">
      <c r="F23" s="17" t="s">
        <v>204</v>
      </c>
      <c r="G23" s="17">
        <f>SUMIFS('CIP-Main data'!$AG$1:$AG$373,'CIP-Main data'!$D$1:$D$373,'Ana-4'!$F23)</f>
        <v>6159.7000000000007</v>
      </c>
      <c r="H23" s="18">
        <f t="shared" si="0"/>
        <v>2.0493704440026628E-2</v>
      </c>
      <c r="W23" s="17" t="s">
        <v>204</v>
      </c>
      <c r="X23" s="17">
        <f>SUMIFS('CIP-Main data'!$AK$1:$AK$373,'CIP-Main data'!$D$1:$D$373,'Ana-4'!$W23)</f>
        <v>466.8</v>
      </c>
      <c r="Y23" s="18">
        <f t="shared" si="1"/>
        <v>4.5190445448675823E-3</v>
      </c>
      <c r="AM23" s="17" t="s">
        <v>204</v>
      </c>
      <c r="AN23" s="17">
        <f>SUMIFS('CIP-Main data'!$AM$1:$AM$373,'CIP-Main data'!$D$1:$D$373,'Ana-4'!$AM23)</f>
        <v>440.9</v>
      </c>
      <c r="AO23" s="18">
        <f t="shared" si="2"/>
        <v>-6.799637352676069E-4</v>
      </c>
      <c r="BD23" s="17" t="s">
        <v>204</v>
      </c>
      <c r="BE23" s="17">
        <f>SUMIFS('CIP-Main data'!$AN$1:$AN$373,'CIP-Main data'!$D$1:$D$373,'Ana-4'!$BD23)</f>
        <v>476.7</v>
      </c>
      <c r="BF23" s="18">
        <f t="shared" si="3"/>
        <v>6.7581837381203557E-3</v>
      </c>
    </row>
    <row r="24" spans="6:58" x14ac:dyDescent="0.25">
      <c r="F24" s="17" t="s">
        <v>203</v>
      </c>
      <c r="G24" s="17">
        <f>SUMIFS('CIP-Main data'!$AG$1:$AG$373,'CIP-Main data'!$D$1:$D$373,'Ana-4'!$F24)</f>
        <v>6298.7000000000007</v>
      </c>
      <c r="H24" s="18">
        <f t="shared" si="0"/>
        <v>2.2566034060100326E-2</v>
      </c>
      <c r="W24" s="17" t="s">
        <v>203</v>
      </c>
      <c r="X24" s="17">
        <f>SUMIFS('CIP-Main data'!$AK$1:$AK$373,'CIP-Main data'!$D$1:$D$373,'Ana-4'!$W24)</f>
        <v>469.59999999999997</v>
      </c>
      <c r="Y24" s="18">
        <f t="shared" si="1"/>
        <v>5.9982862039416338E-3</v>
      </c>
      <c r="AM24" s="17" t="s">
        <v>203</v>
      </c>
      <c r="AN24" s="17">
        <f>SUMIFS('CIP-Main data'!$AM$1:$AM$373,'CIP-Main data'!$D$1:$D$373,'Ana-4'!$AM24)</f>
        <v>446.4</v>
      </c>
      <c r="AO24" s="18">
        <f t="shared" si="2"/>
        <v>1.2474484009979588E-2</v>
      </c>
      <c r="BD24" s="17" t="s">
        <v>203</v>
      </c>
      <c r="BE24" s="17">
        <f>SUMIFS('CIP-Main data'!$AN$1:$AN$373,'CIP-Main data'!$D$1:$D$373,'Ana-4'!$BD24)</f>
        <v>476.6</v>
      </c>
      <c r="BF24" s="18">
        <f t="shared" si="3"/>
        <v>-2.0977554017194441E-4</v>
      </c>
    </row>
    <row r="25" spans="6:58" x14ac:dyDescent="0.25">
      <c r="F25" s="17" t="s">
        <v>196</v>
      </c>
      <c r="G25" s="17">
        <f>SUMIFS('CIP-Main data'!$AG$1:$AG$373,'CIP-Main data'!$D$1:$D$373,'Ana-4'!$F25)</f>
        <v>6335</v>
      </c>
      <c r="H25" s="18">
        <f t="shared" si="0"/>
        <v>5.763093971771837E-3</v>
      </c>
      <c r="W25" s="17" t="s">
        <v>196</v>
      </c>
      <c r="X25" s="17">
        <f>SUMIFS('CIP-Main data'!$AK$1:$AK$373,'CIP-Main data'!$D$1:$D$373,'Ana-4'!$W25)</f>
        <v>472.8</v>
      </c>
      <c r="Y25" s="18">
        <f t="shared" si="1"/>
        <v>6.8143100511074226E-3</v>
      </c>
      <c r="AM25" s="17" t="s">
        <v>196</v>
      </c>
      <c r="AN25" s="17">
        <f>SUMIFS('CIP-Main data'!$AM$1:$AM$373,'CIP-Main data'!$D$1:$D$373,'Ana-4'!$AM25)</f>
        <v>446.70000000000005</v>
      </c>
      <c r="AO25" s="18">
        <f t="shared" si="2"/>
        <v>6.7204301075284099E-4</v>
      </c>
      <c r="BD25" s="17" t="s">
        <v>196</v>
      </c>
      <c r="BE25" s="17">
        <f>SUMIFS('CIP-Main data'!$AN$1:$AN$373,'CIP-Main data'!$D$1:$D$373,'Ana-4'!$BD25)</f>
        <v>479.20000000000005</v>
      </c>
      <c r="BF25" s="18">
        <f t="shared" si="3"/>
        <v>5.455308434746166E-3</v>
      </c>
    </row>
    <row r="26" spans="6:58" x14ac:dyDescent="0.25">
      <c r="F26" s="17" t="s">
        <v>210</v>
      </c>
      <c r="G26" s="17">
        <f>SUMIFS('CIP-Main data'!$AG$1:$AG$373,'CIP-Main data'!$D$1:$D$373,'Ana-4'!$F26)</f>
        <v>6239.2</v>
      </c>
      <c r="H26" s="18">
        <f t="shared" si="0"/>
        <v>-1.5122336227308632E-2</v>
      </c>
      <c r="W26" s="17" t="s">
        <v>210</v>
      </c>
      <c r="X26" s="17">
        <f>SUMIFS('CIP-Main data'!$AK$1:$AK$373,'CIP-Main data'!$D$1:$D$373,'Ana-4'!$W26)</f>
        <v>475.90000000000003</v>
      </c>
      <c r="Y26" s="18">
        <f t="shared" si="1"/>
        <v>6.5566835871404879E-3</v>
      </c>
      <c r="AM26" s="17" t="s">
        <v>210</v>
      </c>
      <c r="AN26" s="17">
        <f>SUMIFS('CIP-Main data'!$AM$1:$AM$373,'CIP-Main data'!$D$1:$D$373,'Ana-4'!$AM26)</f>
        <v>450.1</v>
      </c>
      <c r="AO26" s="18">
        <f t="shared" si="2"/>
        <v>7.6113722856502733E-3</v>
      </c>
      <c r="BD26" s="17" t="s">
        <v>210</v>
      </c>
      <c r="BE26" s="17">
        <f>SUMIFS('CIP-Main data'!$AN$1:$AN$373,'CIP-Main data'!$D$1:$D$373,'Ana-4'!$BD26)</f>
        <v>478.8</v>
      </c>
      <c r="BF26" s="18">
        <f t="shared" si="3"/>
        <v>-8.3472454090157354E-4</v>
      </c>
    </row>
    <row r="27" spans="6:58" x14ac:dyDescent="0.25">
      <c r="F27" s="17" t="s">
        <v>209</v>
      </c>
      <c r="G27" s="17">
        <f>SUMIFS('CIP-Main data'!$AG$1:$AG$373,'CIP-Main data'!$D$1:$D$373,'Ana-4'!$F27)</f>
        <v>6130.6</v>
      </c>
      <c r="H27" s="18">
        <f t="shared" si="0"/>
        <v>-1.7406077702269436E-2</v>
      </c>
      <c r="W27" s="17" t="s">
        <v>209</v>
      </c>
      <c r="X27" s="17">
        <f>SUMIFS('CIP-Main data'!$AK$1:$AK$373,'CIP-Main data'!$D$1:$D$373,'Ana-4'!$W27)</f>
        <v>481.90000000000003</v>
      </c>
      <c r="Y27" s="18">
        <f t="shared" si="1"/>
        <v>1.2607690691321706E-2</v>
      </c>
      <c r="AM27" s="17" t="s">
        <v>209</v>
      </c>
      <c r="AN27" s="17">
        <f>SUMIFS('CIP-Main data'!$AM$1:$AM$373,'CIP-Main data'!$D$1:$D$373,'Ana-4'!$AM27)</f>
        <v>455.8</v>
      </c>
      <c r="AO27" s="18">
        <f t="shared" si="2"/>
        <v>1.2663852477227257E-2</v>
      </c>
      <c r="BD27" s="17" t="s">
        <v>209</v>
      </c>
      <c r="BE27" s="17">
        <f>SUMIFS('CIP-Main data'!$AN$1:$AN$373,'CIP-Main data'!$D$1:$D$373,'Ana-4'!$BD27)</f>
        <v>479.7</v>
      </c>
      <c r="BF27" s="18">
        <f t="shared" si="3"/>
        <v>1.8796992481202532E-3</v>
      </c>
    </row>
    <row r="28" spans="6:58" x14ac:dyDescent="0.25">
      <c r="F28" s="17" t="s">
        <v>213</v>
      </c>
      <c r="G28" s="17">
        <f>SUMIFS('CIP-Main data'!$AG$1:$AG$373,'CIP-Main data'!$D$1:$D$373,'Ana-4'!$F28)</f>
        <v>6129.5999999999995</v>
      </c>
      <c r="H28" s="18">
        <f>(G28-G27)/G27</f>
        <v>-1.6311617133737472E-4</v>
      </c>
      <c r="W28" s="17" t="s">
        <v>213</v>
      </c>
      <c r="X28" s="17">
        <f>SUMIFS('CIP-Main data'!$AK$1:$AK$373,'CIP-Main data'!$D$1:$D$373,'Ana-4'!$W28)</f>
        <v>483.2</v>
      </c>
      <c r="Y28" s="18">
        <f>(X28-X27)/X27</f>
        <v>2.6976551151690277E-3</v>
      </c>
      <c r="AM28" s="17" t="s">
        <v>213</v>
      </c>
      <c r="AN28" s="17">
        <f>SUMIFS('CIP-Main data'!$AM$1:$AM$373,'CIP-Main data'!$D$1:$D$373,'Ana-4'!$AM28)</f>
        <v>459</v>
      </c>
      <c r="AO28" s="18">
        <f>(AN28-AN27)/AN27</f>
        <v>7.0206230802983514E-3</v>
      </c>
      <c r="BD28" s="17" t="s">
        <v>213</v>
      </c>
      <c r="BE28" s="17">
        <f>SUMIFS('CIP-Main data'!$AN$1:$AN$373,'CIP-Main data'!$D$1:$D$373,'Ana-4'!$BD28)</f>
        <v>481.59999999999997</v>
      </c>
      <c r="BF28" s="18">
        <f t="shared" si="3"/>
        <v>3.9608088388575716E-3</v>
      </c>
    </row>
  </sheetData>
  <phoneticPr fontId="19" type="noConversion"/>
  <conditionalFormatting sqref="H6:H28">
    <cfRule type="colorScale" priority="16">
      <colorScale>
        <cfvo type="min"/>
        <cfvo type="percentile" val="50"/>
        <cfvo type="max"/>
        <color rgb="FFF8696B"/>
        <color rgb="FFFFEB84"/>
        <color rgb="FF63BE7B"/>
      </colorScale>
    </cfRule>
  </conditionalFormatting>
  <conditionalFormatting sqref="Y6:Y28">
    <cfRule type="colorScale" priority="17">
      <colorScale>
        <cfvo type="min"/>
        <cfvo type="percentile" val="50"/>
        <cfvo type="max"/>
        <color rgb="FF63BE7B"/>
        <color rgb="FFFFEB84"/>
        <color rgb="FFF8696B"/>
      </colorScale>
    </cfRule>
  </conditionalFormatting>
  <conditionalFormatting sqref="AO6:AO28">
    <cfRule type="colorScale" priority="18">
      <colorScale>
        <cfvo type="min"/>
        <cfvo type="percentile" val="50"/>
        <cfvo type="max"/>
        <color rgb="FF63BE7B"/>
        <color rgb="FFFFEB84"/>
        <color rgb="FFF8696B"/>
      </colorScale>
    </cfRule>
  </conditionalFormatting>
  <conditionalFormatting sqref="H5:H28">
    <cfRule type="colorScale" priority="19">
      <colorScale>
        <cfvo type="min"/>
        <cfvo type="percentile" val="50"/>
        <cfvo type="max"/>
        <color rgb="FF63BE7B"/>
        <color rgb="FFFFEB84"/>
        <color rgb="FFF8696B"/>
      </colorScale>
    </cfRule>
  </conditionalFormatting>
  <conditionalFormatting sqref="BF6:BF28">
    <cfRule type="colorScale" priority="21">
      <colorScale>
        <cfvo type="min"/>
        <cfvo type="percentile" val="50"/>
        <cfvo type="max"/>
        <color rgb="FF63BE7B"/>
        <color rgb="FFFFEB84"/>
        <color rgb="FFF8696B"/>
      </colorScale>
    </cfRule>
  </conditionalFormatting>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218D5-3BAF-4030-BFE8-128F5C673712}">
  <dimension ref="E1:AE32"/>
  <sheetViews>
    <sheetView topLeftCell="R9" workbookViewId="0">
      <selection activeCell="Y16" sqref="Y16"/>
    </sheetView>
  </sheetViews>
  <sheetFormatPr defaultRowHeight="15" x14ac:dyDescent="0.25"/>
  <cols>
    <col min="5" max="5" width="9.7109375" bestFit="1" customWidth="1"/>
    <col min="8" max="8" width="15.85546875" bestFit="1" customWidth="1"/>
    <col min="9" max="9" width="13.5703125" bestFit="1" customWidth="1"/>
    <col min="10" max="10" width="15.85546875" bestFit="1" customWidth="1"/>
    <col min="11" max="11" width="12.5703125" bestFit="1" customWidth="1"/>
    <col min="12" max="12" width="15" bestFit="1" customWidth="1"/>
    <col min="13" max="13" width="14.7109375" bestFit="1" customWidth="1"/>
    <col min="14" max="14" width="12.5703125" bestFit="1" customWidth="1"/>
    <col min="15" max="15" width="13.85546875" bestFit="1" customWidth="1"/>
    <col min="16" max="16" width="10.85546875" bestFit="1" customWidth="1"/>
    <col min="18" max="18" width="33.28515625" bestFit="1" customWidth="1"/>
    <col min="23" max="23" width="11.5703125" bestFit="1" customWidth="1"/>
    <col min="30" max="30" width="11" bestFit="1" customWidth="1"/>
    <col min="31" max="31" width="12.7109375" bestFit="1" customWidth="1"/>
  </cols>
  <sheetData>
    <row r="1" spans="5:31" ht="15.75" thickBot="1" x14ac:dyDescent="0.3"/>
    <row r="2" spans="5:31" ht="15.75" thickBot="1" x14ac:dyDescent="0.3">
      <c r="H2" s="39" t="s">
        <v>246</v>
      </c>
    </row>
    <row r="3" spans="5:31" x14ac:dyDescent="0.25">
      <c r="R3" s="24" t="s">
        <v>233</v>
      </c>
      <c r="S3" s="24" t="s">
        <v>218</v>
      </c>
      <c r="T3" s="24" t="s">
        <v>241</v>
      </c>
      <c r="U3" s="24" t="s">
        <v>79</v>
      </c>
      <c r="V3" s="24" t="s">
        <v>242</v>
      </c>
      <c r="W3" s="24" t="s">
        <v>76</v>
      </c>
      <c r="X3" s="24" t="s">
        <v>243</v>
      </c>
      <c r="Y3" s="24" t="s">
        <v>82</v>
      </c>
      <c r="Z3" s="24" t="s">
        <v>81</v>
      </c>
      <c r="AA3" s="24" t="s">
        <v>77</v>
      </c>
      <c r="AB3" s="24" t="s">
        <v>104</v>
      </c>
      <c r="AC3" s="24" t="s">
        <v>244</v>
      </c>
      <c r="AD3" s="24" t="s">
        <v>87</v>
      </c>
      <c r="AE3" s="24" t="s">
        <v>247</v>
      </c>
    </row>
    <row r="4" spans="5:31" x14ac:dyDescent="0.25">
      <c r="E4" s="33"/>
      <c r="F4" s="33"/>
      <c r="G4" s="34"/>
      <c r="H4" s="24" t="s">
        <v>89</v>
      </c>
      <c r="I4" s="36" t="s">
        <v>240</v>
      </c>
      <c r="J4" s="37" t="s">
        <v>245</v>
      </c>
      <c r="K4" s="35"/>
      <c r="L4" s="33"/>
      <c r="M4" s="33"/>
      <c r="N4" s="33"/>
      <c r="O4" s="33"/>
      <c r="P4" s="33"/>
      <c r="R4" s="41" t="s">
        <v>234</v>
      </c>
      <c r="S4" s="33">
        <v>21626.169696185003</v>
      </c>
      <c r="T4" s="33">
        <v>19644.253621534997</v>
      </c>
      <c r="U4" s="33">
        <v>19209.652005542004</v>
      </c>
      <c r="V4" s="33">
        <v>20624.253959481997</v>
      </c>
      <c r="W4" s="33">
        <v>17637.212315264998</v>
      </c>
      <c r="X4" s="33">
        <v>16772.209972765002</v>
      </c>
      <c r="Y4" s="33">
        <v>18123.446675544998</v>
      </c>
      <c r="Z4" s="33">
        <v>19003.280854934001</v>
      </c>
      <c r="AA4" s="33">
        <v>19617.709583499</v>
      </c>
      <c r="AB4" s="33">
        <v>20229.309738625001</v>
      </c>
      <c r="AC4" s="33">
        <v>19284.873472954998</v>
      </c>
      <c r="AD4" s="33">
        <v>20928.040082494001</v>
      </c>
      <c r="AE4" s="17"/>
    </row>
    <row r="5" spans="5:31" x14ac:dyDescent="0.25">
      <c r="H5" s="17" t="s">
        <v>218</v>
      </c>
      <c r="I5" s="38">
        <v>21626.169696185003</v>
      </c>
      <c r="J5" s="17"/>
      <c r="R5" s="40" t="s">
        <v>3</v>
      </c>
      <c r="S5" s="17">
        <f>SUMIFS('CIP-Main data'!$E$1:$E$373,'CIP-Main data'!$D$1:$D$373,'Ana-5'!S$3)</f>
        <v>460.1</v>
      </c>
      <c r="T5" s="17">
        <v>463.7</v>
      </c>
      <c r="U5" s="17">
        <v>466.3</v>
      </c>
      <c r="V5" s="17">
        <v>471</v>
      </c>
      <c r="W5" s="17">
        <v>481.90000000000003</v>
      </c>
      <c r="X5" s="17">
        <v>491.3</v>
      </c>
      <c r="Y5" s="17">
        <v>496.3</v>
      </c>
      <c r="Z5" s="17">
        <v>502.70000000000005</v>
      </c>
      <c r="AA5" s="17">
        <v>508.2</v>
      </c>
      <c r="AB5" s="17">
        <v>521.1</v>
      </c>
      <c r="AC5" s="17">
        <v>523.29999999999995</v>
      </c>
      <c r="AD5" s="17">
        <v>523.4</v>
      </c>
      <c r="AE5" s="17">
        <f>CORREL($S$4:$AD$4,$S5:$AD5)</f>
        <v>-4.5857620399100282E-2</v>
      </c>
    </row>
    <row r="6" spans="5:31" x14ac:dyDescent="0.25">
      <c r="H6" s="17" t="s">
        <v>241</v>
      </c>
      <c r="I6" s="38">
        <v>19644.253621534997</v>
      </c>
      <c r="J6" s="18">
        <f>(I6-I5)/I5</f>
        <v>-9.164434120757077E-2</v>
      </c>
      <c r="R6" s="40" t="s">
        <v>4</v>
      </c>
      <c r="S6" s="17">
        <f>SUMIFS('CIP-Main data'!$F$1:$F$373,'CIP-Main data'!$D$1:$D$373,'Ana-5'!S$3)</f>
        <v>637.29999999999995</v>
      </c>
      <c r="T6" s="17">
        <v>652.9</v>
      </c>
      <c r="U6" s="17">
        <v>660</v>
      </c>
      <c r="V6" s="17">
        <v>640.9</v>
      </c>
      <c r="W6" s="17">
        <v>621.5</v>
      </c>
      <c r="X6" s="17">
        <v>629.6</v>
      </c>
      <c r="Y6" s="17">
        <v>634.6</v>
      </c>
      <c r="Z6" s="17">
        <v>630</v>
      </c>
      <c r="AA6" s="17">
        <v>628.79999999999995</v>
      </c>
      <c r="AB6" s="17">
        <v>634.20000000000005</v>
      </c>
      <c r="AC6" s="17">
        <v>625.1</v>
      </c>
      <c r="AD6" s="17">
        <v>625.09999999999991</v>
      </c>
      <c r="AE6" s="17">
        <f t="shared" ref="AE6:AE28" si="0">CORREL($S$4:$AD$4,$S6:$AD6)</f>
        <v>0.20618370828009489</v>
      </c>
    </row>
    <row r="7" spans="5:31" x14ac:dyDescent="0.25">
      <c r="H7" s="17" t="s">
        <v>79</v>
      </c>
      <c r="I7" s="38">
        <v>19209.652005542004</v>
      </c>
      <c r="J7" s="18">
        <f t="shared" ref="J7:J16" si="1">(I7-I6)/I6</f>
        <v>-2.2123600334530476E-2</v>
      </c>
      <c r="R7" s="40" t="s">
        <v>5</v>
      </c>
      <c r="S7" s="17">
        <f>SUMIFS('CIP-Main data'!$G$1:$G$373,'CIP-Main data'!$D$1:$D$373,'Ana-5'!S$3)</f>
        <v>493.6</v>
      </c>
      <c r="T7" s="17">
        <v>487.9</v>
      </c>
      <c r="U7" s="17">
        <v>513.20000000000005</v>
      </c>
      <c r="V7" s="17">
        <v>526.1</v>
      </c>
      <c r="W7" s="17">
        <v>508.09999999999997</v>
      </c>
      <c r="X7" s="17">
        <v>509.6</v>
      </c>
      <c r="Y7" s="17">
        <v>513.1</v>
      </c>
      <c r="Z7" s="17">
        <v>544.79999999999995</v>
      </c>
      <c r="AA7" s="17">
        <v>571.20000000000005</v>
      </c>
      <c r="AB7" s="17">
        <v>584.4</v>
      </c>
      <c r="AC7" s="17">
        <v>526.29999999999995</v>
      </c>
      <c r="AD7" s="17">
        <v>526.29999999999995</v>
      </c>
      <c r="AE7" s="17">
        <f t="shared" si="0"/>
        <v>0.14263481888758139</v>
      </c>
    </row>
    <row r="8" spans="5:31" x14ac:dyDescent="0.25">
      <c r="H8" s="17" t="s">
        <v>242</v>
      </c>
      <c r="I8" s="38">
        <v>20624.253959481997</v>
      </c>
      <c r="J8" s="18">
        <f t="shared" si="1"/>
        <v>7.3640165554892875E-2</v>
      </c>
      <c r="R8" s="40" t="s">
        <v>6</v>
      </c>
      <c r="S8" s="17">
        <f>SUMIFS('CIP-Main data'!$H$1:$H$373,'CIP-Main data'!$D$1:$D$373,'Ana-5'!S$3)</f>
        <v>491.9</v>
      </c>
      <c r="T8" s="17">
        <v>494.9</v>
      </c>
      <c r="U8" s="17">
        <v>497.6</v>
      </c>
      <c r="V8" s="17">
        <v>500</v>
      </c>
      <c r="W8" s="17">
        <v>504.4</v>
      </c>
      <c r="X8" s="17">
        <v>509.3</v>
      </c>
      <c r="Y8" s="17">
        <v>512.79999999999995</v>
      </c>
      <c r="Z8" s="17">
        <v>516.90000000000009</v>
      </c>
      <c r="AA8" s="17">
        <v>520.9</v>
      </c>
      <c r="AB8" s="17">
        <v>524.1</v>
      </c>
      <c r="AC8" s="17">
        <v>532.20000000000005</v>
      </c>
      <c r="AD8" s="17">
        <v>532.20000000000005</v>
      </c>
      <c r="AE8" s="17">
        <f t="shared" si="0"/>
        <v>-1.3379939983002952E-2</v>
      </c>
    </row>
    <row r="9" spans="5:31" x14ac:dyDescent="0.25">
      <c r="H9" s="17" t="s">
        <v>76</v>
      </c>
      <c r="I9" s="38">
        <v>17637.212315264998</v>
      </c>
      <c r="J9" s="18">
        <f t="shared" si="1"/>
        <v>-0.14483150033379544</v>
      </c>
      <c r="R9" s="40" t="s">
        <v>7</v>
      </c>
      <c r="S9" s="17">
        <f>SUMIFS('CIP-Main data'!$I$1:$I$373,'CIP-Main data'!$D$1:$D$373,'Ana-5'!S$3)</f>
        <v>592.9</v>
      </c>
      <c r="T9" s="17">
        <v>601.79999999999995</v>
      </c>
      <c r="U9" s="17">
        <v>597.6</v>
      </c>
      <c r="V9" s="17">
        <v>582.79999999999995</v>
      </c>
      <c r="W9" s="17">
        <v>573</v>
      </c>
      <c r="X9" s="17">
        <v>562.1</v>
      </c>
      <c r="Y9" s="17">
        <v>555.79999999999995</v>
      </c>
      <c r="Z9" s="17">
        <v>562.9</v>
      </c>
      <c r="AA9" s="17">
        <v>561.5</v>
      </c>
      <c r="AB9" s="17">
        <v>557.79999999999995</v>
      </c>
      <c r="AC9" s="17">
        <v>534.9</v>
      </c>
      <c r="AD9" s="17">
        <v>534.70000000000005</v>
      </c>
      <c r="AE9" s="17">
        <f t="shared" si="0"/>
        <v>0.12744102140686667</v>
      </c>
    </row>
    <row r="10" spans="5:31" x14ac:dyDescent="0.25">
      <c r="H10" s="17" t="s">
        <v>243</v>
      </c>
      <c r="I10" s="38">
        <v>16772.209972765002</v>
      </c>
      <c r="J10" s="18">
        <f t="shared" si="1"/>
        <v>-4.9044164522039413E-2</v>
      </c>
      <c r="R10" s="40" t="s">
        <v>8</v>
      </c>
      <c r="S10" s="17">
        <f>SUMIFS('CIP-Main data'!$J$1:$J$373,'CIP-Main data'!$D$1:$D$373,'Ana-5'!S$3)</f>
        <v>518.20000000000005</v>
      </c>
      <c r="T10" s="17">
        <v>513.5</v>
      </c>
      <c r="U10" s="17">
        <v>509.59999999999997</v>
      </c>
      <c r="V10" s="17">
        <v>523.29999999999995</v>
      </c>
      <c r="W10" s="17">
        <v>519.19999999999993</v>
      </c>
      <c r="X10" s="17">
        <v>497.3</v>
      </c>
      <c r="Y10" s="17">
        <v>491.7</v>
      </c>
      <c r="Z10" s="17">
        <v>482.4</v>
      </c>
      <c r="AA10" s="17">
        <v>474.2</v>
      </c>
      <c r="AB10" s="17">
        <v>475.1</v>
      </c>
      <c r="AC10" s="17">
        <v>508.8</v>
      </c>
      <c r="AD10" s="17">
        <v>508.79999999999995</v>
      </c>
      <c r="AE10" s="17">
        <f t="shared" si="0"/>
        <v>0.17923745822290815</v>
      </c>
    </row>
    <row r="11" spans="5:31" x14ac:dyDescent="0.25">
      <c r="H11" s="17" t="s">
        <v>82</v>
      </c>
      <c r="I11" s="38">
        <v>18123.446675544998</v>
      </c>
      <c r="J11" s="18">
        <f t="shared" si="1"/>
        <v>8.0564022569128133E-2</v>
      </c>
      <c r="R11" s="40" t="s">
        <v>9</v>
      </c>
      <c r="S11" s="17">
        <f>SUMIFS('CIP-Main data'!$K$1:$K$373,'CIP-Main data'!$D$1:$D$373,'Ana-5'!S$3)</f>
        <v>510.49999999999994</v>
      </c>
      <c r="T11" s="17">
        <v>538.5</v>
      </c>
      <c r="U11" s="17">
        <v>561.1</v>
      </c>
      <c r="V11" s="17">
        <v>559.20000000000005</v>
      </c>
      <c r="W11" s="17">
        <v>572.9</v>
      </c>
      <c r="X11" s="17">
        <v>589.5</v>
      </c>
      <c r="Y11" s="17">
        <v>613.09999999999991</v>
      </c>
      <c r="Z11" s="17">
        <v>560.20000000000005</v>
      </c>
      <c r="AA11" s="17">
        <v>488.79999999999995</v>
      </c>
      <c r="AB11" s="17">
        <v>472.1</v>
      </c>
      <c r="AC11" s="17">
        <v>469.4</v>
      </c>
      <c r="AD11" s="17">
        <v>469.6</v>
      </c>
      <c r="AE11" s="17">
        <f t="shared" si="0"/>
        <v>-0.65375113898381931</v>
      </c>
    </row>
    <row r="12" spans="5:31" x14ac:dyDescent="0.25">
      <c r="H12" s="17" t="s">
        <v>81</v>
      </c>
      <c r="I12" s="38">
        <v>19003.280854934001</v>
      </c>
      <c r="J12" s="18">
        <f t="shared" si="1"/>
        <v>4.8546735901853239E-2</v>
      </c>
      <c r="R12" s="40" t="s">
        <v>10</v>
      </c>
      <c r="S12" s="17">
        <f>SUMIFS('CIP-Main data'!$L$1:$L$373,'CIP-Main data'!$D$1:$D$373,'Ana-5'!S$3)</f>
        <v>493.8</v>
      </c>
      <c r="T12" s="17">
        <v>493.8</v>
      </c>
      <c r="U12" s="17">
        <v>492.5</v>
      </c>
      <c r="V12" s="17">
        <v>492.7</v>
      </c>
      <c r="W12" s="17">
        <v>501.59999999999997</v>
      </c>
      <c r="X12" s="17">
        <v>507.3</v>
      </c>
      <c r="Y12" s="17">
        <v>509.40000000000003</v>
      </c>
      <c r="Z12" s="17">
        <v>511.7</v>
      </c>
      <c r="AA12" s="17">
        <v>512.6</v>
      </c>
      <c r="AB12" s="17">
        <v>512.79999999999995</v>
      </c>
      <c r="AC12" s="17">
        <v>513.6</v>
      </c>
      <c r="AD12" s="17">
        <v>513.79999999999995</v>
      </c>
      <c r="AE12" s="17">
        <f t="shared" si="0"/>
        <v>-0.20165334935457113</v>
      </c>
    </row>
    <row r="13" spans="5:31" x14ac:dyDescent="0.25">
      <c r="H13" s="17" t="s">
        <v>77</v>
      </c>
      <c r="I13" s="38">
        <v>19617.709583499</v>
      </c>
      <c r="J13" s="18">
        <f t="shared" si="1"/>
        <v>3.2332771022824142E-2</v>
      </c>
      <c r="R13" s="40" t="s">
        <v>11</v>
      </c>
      <c r="S13" s="17">
        <f>SUMIFS('CIP-Main data'!$M$1:$M$373,'CIP-Main data'!$D$1:$D$373,'Ana-5'!S$3)</f>
        <v>357.7</v>
      </c>
      <c r="T13" s="17">
        <v>359.8</v>
      </c>
      <c r="U13" s="17">
        <v>360.4</v>
      </c>
      <c r="V13" s="17">
        <v>360.7</v>
      </c>
      <c r="W13" s="17">
        <v>363.3</v>
      </c>
      <c r="X13" s="17">
        <v>365.5</v>
      </c>
      <c r="Y13" s="17">
        <v>366.4</v>
      </c>
      <c r="Z13" s="17">
        <v>367</v>
      </c>
      <c r="AA13" s="17">
        <v>366.1</v>
      </c>
      <c r="AB13" s="17">
        <v>364.1</v>
      </c>
      <c r="AC13" s="17">
        <v>361</v>
      </c>
      <c r="AD13" s="17">
        <v>361</v>
      </c>
      <c r="AE13" s="17">
        <f t="shared" si="0"/>
        <v>-0.62324028880528859</v>
      </c>
    </row>
    <row r="14" spans="5:31" x14ac:dyDescent="0.25">
      <c r="H14" s="17" t="s">
        <v>104</v>
      </c>
      <c r="I14" s="38">
        <v>20229.309738625001</v>
      </c>
      <c r="J14" s="18">
        <f t="shared" si="1"/>
        <v>3.1175920538676714E-2</v>
      </c>
      <c r="R14" s="40" t="s">
        <v>12</v>
      </c>
      <c r="S14" s="17">
        <f>SUMIFS('CIP-Main data'!$N$1:$N$373,'CIP-Main data'!$D$1:$D$373,'Ana-5'!S$3)</f>
        <v>542.20000000000005</v>
      </c>
      <c r="T14" s="17">
        <v>552.9</v>
      </c>
      <c r="U14" s="17">
        <v>559.5</v>
      </c>
      <c r="V14" s="17">
        <v>568.1</v>
      </c>
      <c r="W14" s="17">
        <v>578.9</v>
      </c>
      <c r="X14" s="17">
        <v>590</v>
      </c>
      <c r="Y14" s="17">
        <v>597.9</v>
      </c>
      <c r="Z14" s="17">
        <v>606.40000000000009</v>
      </c>
      <c r="AA14" s="17">
        <v>613.20000000000005</v>
      </c>
      <c r="AB14" s="17">
        <v>632.20000000000005</v>
      </c>
      <c r="AC14" s="17">
        <v>626.6</v>
      </c>
      <c r="AD14" s="17">
        <v>626.59999999999991</v>
      </c>
      <c r="AE14" s="17">
        <f t="shared" si="0"/>
        <v>-8.7710992049173819E-2</v>
      </c>
    </row>
    <row r="15" spans="5:31" x14ac:dyDescent="0.25">
      <c r="H15" s="17" t="s">
        <v>244</v>
      </c>
      <c r="I15" s="38">
        <v>19284.873472954998</v>
      </c>
      <c r="J15" s="18">
        <f t="shared" si="1"/>
        <v>-4.6686529489769785E-2</v>
      </c>
      <c r="R15" s="40" t="s">
        <v>13</v>
      </c>
      <c r="S15" s="17">
        <f>SUMIFS('CIP-Main data'!$O$1:$O$373,'CIP-Main data'!$D$1:$D$373,'Ana-5'!S$3)</f>
        <v>496.09999999999997</v>
      </c>
      <c r="T15" s="17">
        <v>498.8</v>
      </c>
      <c r="U15" s="17">
        <v>501.19999999999993</v>
      </c>
      <c r="V15" s="17">
        <v>502.7</v>
      </c>
      <c r="W15" s="17">
        <v>504.1</v>
      </c>
      <c r="X15" s="17">
        <v>505.9</v>
      </c>
      <c r="Y15" s="17">
        <v>507.29999999999995</v>
      </c>
      <c r="Z15" s="17">
        <v>508.9</v>
      </c>
      <c r="AA15" s="17">
        <v>510.6</v>
      </c>
      <c r="AB15" s="17">
        <v>512</v>
      </c>
      <c r="AC15" s="17">
        <v>514.79999999999995</v>
      </c>
      <c r="AD15" s="17">
        <v>514.79999999999995</v>
      </c>
      <c r="AE15" s="17">
        <f t="shared" si="0"/>
        <v>-8.2070542176977054E-2</v>
      </c>
    </row>
    <row r="16" spans="5:31" x14ac:dyDescent="0.25">
      <c r="H16" s="17" t="s">
        <v>87</v>
      </c>
      <c r="I16" s="38">
        <v>20928.040082494001</v>
      </c>
      <c r="J16" s="18">
        <f t="shared" si="1"/>
        <v>8.5204946345298599E-2</v>
      </c>
      <c r="R16" s="40" t="s">
        <v>14</v>
      </c>
      <c r="S16" s="17">
        <f>SUMIFS('CIP-Main data'!$P$1:$P$373,'CIP-Main data'!$D$1:$D$373,'Ana-5'!S$3)</f>
        <v>543.1</v>
      </c>
      <c r="T16" s="17">
        <v>547.79999999999995</v>
      </c>
      <c r="U16" s="17">
        <v>552.1</v>
      </c>
      <c r="V16" s="17">
        <v>556</v>
      </c>
      <c r="W16" s="17">
        <v>559.20000000000005</v>
      </c>
      <c r="X16" s="17">
        <v>562.6</v>
      </c>
      <c r="Y16" s="17">
        <v>565.40000000000009</v>
      </c>
      <c r="Z16" s="17">
        <v>568.79999999999995</v>
      </c>
      <c r="AA16" s="17">
        <v>571.29999999999995</v>
      </c>
      <c r="AB16" s="17">
        <v>574</v>
      </c>
      <c r="AC16" s="17">
        <v>579.5</v>
      </c>
      <c r="AD16" s="17">
        <v>579.5</v>
      </c>
      <c r="AE16" s="17">
        <f t="shared" si="0"/>
        <v>-9.6947374319210092E-2</v>
      </c>
    </row>
    <row r="17" spans="8:31" x14ac:dyDescent="0.25">
      <c r="R17" s="40" t="s">
        <v>15</v>
      </c>
      <c r="S17" s="17">
        <f>SUMIFS('CIP-Main data'!$Q$1:$Q$373,'CIP-Main data'!$D$1:$D$373,'Ana-5'!S$3)</f>
        <v>513.90000000000009</v>
      </c>
      <c r="T17" s="17">
        <v>521.6</v>
      </c>
      <c r="U17" s="17">
        <v>526.6</v>
      </c>
      <c r="V17" s="17">
        <v>526.9</v>
      </c>
      <c r="W17" s="17">
        <v>530.6</v>
      </c>
      <c r="X17" s="17">
        <v>535.1</v>
      </c>
      <c r="Y17" s="17">
        <v>540.30000000000007</v>
      </c>
      <c r="Z17" s="17">
        <v>536.20000000000005</v>
      </c>
      <c r="AA17" s="17">
        <v>528.9</v>
      </c>
      <c r="AB17" s="17">
        <v>531.20000000000005</v>
      </c>
      <c r="AC17" s="17">
        <v>532.5</v>
      </c>
      <c r="AD17" s="17">
        <v>532.6</v>
      </c>
      <c r="AE17" s="17">
        <f t="shared" si="0"/>
        <v>-0.6220427902564919</v>
      </c>
    </row>
    <row r="18" spans="8:31" ht="15.75" thickBot="1" x14ac:dyDescent="0.3">
      <c r="R18" s="40" t="s">
        <v>16</v>
      </c>
      <c r="S18" s="17">
        <f>SUMIFS('CIP-Main data'!$R$1:$R$373,'CIP-Main data'!$D$1:$D$373,'Ana-5'!S$3)</f>
        <v>583.79999999999995</v>
      </c>
      <c r="T18" s="17">
        <v>584.5</v>
      </c>
      <c r="U18" s="17">
        <v>585.5</v>
      </c>
      <c r="V18" s="17">
        <v>586.4</v>
      </c>
      <c r="W18" s="17">
        <v>587.4</v>
      </c>
      <c r="X18" s="17">
        <v>590.1</v>
      </c>
      <c r="Y18" s="17">
        <v>591.29999999999995</v>
      </c>
      <c r="Z18" s="17">
        <v>593</v>
      </c>
      <c r="AA18" s="17">
        <v>594.29999999999995</v>
      </c>
      <c r="AB18" s="17">
        <v>596.70000000000005</v>
      </c>
      <c r="AC18" s="17">
        <v>600.5</v>
      </c>
      <c r="AD18" s="17">
        <v>600.6</v>
      </c>
      <c r="AE18" s="17">
        <f t="shared" si="0"/>
        <v>4.7898494954444412E-2</v>
      </c>
    </row>
    <row r="19" spans="8:31" ht="15.75" thickBot="1" x14ac:dyDescent="0.3">
      <c r="H19" s="39" t="s">
        <v>248</v>
      </c>
      <c r="R19" s="40" t="s">
        <v>19</v>
      </c>
      <c r="S19" s="17">
        <f>SUMIFS('CIP-Main data'!$U$1:$U$373,'CIP-Main data'!$D$1:$D$373,'Ana-5'!S$3)</f>
        <v>516.20000000000005</v>
      </c>
      <c r="T19" s="17">
        <v>521.4</v>
      </c>
      <c r="U19" s="17">
        <v>525.79999999999995</v>
      </c>
      <c r="V19" s="17">
        <v>529.6</v>
      </c>
      <c r="W19" s="17">
        <v>533.1</v>
      </c>
      <c r="X19" s="17">
        <v>537.4</v>
      </c>
      <c r="Y19" s="17">
        <v>540.5</v>
      </c>
      <c r="Z19" s="17">
        <v>543.70000000000005</v>
      </c>
      <c r="AA19" s="17">
        <v>546.5</v>
      </c>
      <c r="AB19" s="17">
        <v>549</v>
      </c>
      <c r="AC19" s="17">
        <v>552.9</v>
      </c>
      <c r="AD19" s="17">
        <v>552.9</v>
      </c>
      <c r="AE19" s="17">
        <f t="shared" si="0"/>
        <v>-0.12602569896330057</v>
      </c>
    </row>
    <row r="20" spans="8:31" x14ac:dyDescent="0.25">
      <c r="H20" s="24" t="s">
        <v>89</v>
      </c>
      <c r="I20" s="36" t="s">
        <v>240</v>
      </c>
      <c r="J20" s="36" t="s">
        <v>245</v>
      </c>
      <c r="R20" s="40" t="s">
        <v>49</v>
      </c>
      <c r="S20" s="17">
        <f>SUMIFS('CIP-Main data'!$W$1:$W$373,'CIP-Main data'!$D$1:$D$373,'Ana-5'!S$3)</f>
        <v>501</v>
      </c>
      <c r="T20" s="17">
        <v>502.5</v>
      </c>
      <c r="U20" s="17">
        <v>500.40000000000003</v>
      </c>
      <c r="V20" s="17">
        <v>503.4</v>
      </c>
      <c r="W20" s="17">
        <v>507</v>
      </c>
      <c r="X20" s="17">
        <v>508.5</v>
      </c>
      <c r="Y20" s="17">
        <v>513.59999999999991</v>
      </c>
      <c r="Z20" s="17">
        <v>515.40000000000009</v>
      </c>
      <c r="AA20" s="17">
        <v>512.09999999999991</v>
      </c>
      <c r="AB20" s="17">
        <v>516.29999999999995</v>
      </c>
      <c r="AC20" s="17">
        <v>520.5</v>
      </c>
      <c r="AD20" s="17">
        <v>520.5</v>
      </c>
      <c r="AE20" s="17">
        <f t="shared" si="0"/>
        <v>-4.5326830893177968E-2</v>
      </c>
    </row>
    <row r="21" spans="8:31" x14ac:dyDescent="0.25">
      <c r="H21" s="17" t="s">
        <v>206</v>
      </c>
      <c r="I21" s="38">
        <v>18256.492266788002</v>
      </c>
      <c r="J21" s="17"/>
      <c r="R21" s="40" t="s">
        <v>21</v>
      </c>
      <c r="S21" s="17">
        <f>SUMIFS('CIP-Main data'!$X$1:$X$373,'CIP-Main data'!$D$1:$D$373,'Ana-5'!S$3)</f>
        <v>516</v>
      </c>
      <c r="T21" s="17">
        <v>523.4</v>
      </c>
      <c r="U21" s="17">
        <v>527.6</v>
      </c>
      <c r="V21" s="17">
        <v>538.70000000000005</v>
      </c>
      <c r="W21" s="17">
        <v>536.29999999999995</v>
      </c>
      <c r="X21" s="17">
        <v>538.4</v>
      </c>
      <c r="Y21" s="17">
        <v>541.29999999999995</v>
      </c>
      <c r="Z21" s="17">
        <v>543.5</v>
      </c>
      <c r="AA21" s="17">
        <v>545.4</v>
      </c>
      <c r="AB21" s="17">
        <v>545.29999999999995</v>
      </c>
      <c r="AC21" s="17">
        <v>546.5</v>
      </c>
      <c r="AD21" s="17">
        <v>545.9</v>
      </c>
      <c r="AE21" s="17">
        <f t="shared" si="0"/>
        <v>-0.23223832171065095</v>
      </c>
    </row>
    <row r="22" spans="8:31" x14ac:dyDescent="0.25">
      <c r="H22" s="17" t="s">
        <v>235</v>
      </c>
      <c r="I22" s="38">
        <v>17259.238289191999</v>
      </c>
      <c r="J22" s="18">
        <f>(I22-I21)/I21</f>
        <v>-5.4624621368815518E-2</v>
      </c>
      <c r="R22" s="40" t="s">
        <v>22</v>
      </c>
      <c r="S22" s="17">
        <f>SUMIFS('CIP-Main data'!$Y$1:$Y$373,'CIP-Main data'!$D$1:$D$373,'Ana-5'!S$3)</f>
        <v>491.5</v>
      </c>
      <c r="T22" s="17">
        <v>495.2</v>
      </c>
      <c r="U22" s="17">
        <v>498.79999999999995</v>
      </c>
      <c r="V22" s="17">
        <v>501.8</v>
      </c>
      <c r="W22" s="17">
        <v>505</v>
      </c>
      <c r="X22" s="17">
        <v>508.1</v>
      </c>
      <c r="Y22" s="17">
        <v>510.79999999999995</v>
      </c>
      <c r="Z22" s="17">
        <v>513.79999999999995</v>
      </c>
      <c r="AA22" s="17">
        <v>515.80000000000007</v>
      </c>
      <c r="AB22" s="17">
        <v>518.1</v>
      </c>
      <c r="AC22" s="17">
        <v>522</v>
      </c>
      <c r="AD22" s="17">
        <v>522</v>
      </c>
      <c r="AE22" s="17">
        <f t="shared" si="0"/>
        <v>-0.1054757043641289</v>
      </c>
    </row>
    <row r="23" spans="8:31" x14ac:dyDescent="0.25">
      <c r="H23" s="17" t="s">
        <v>212</v>
      </c>
      <c r="I23" s="38">
        <v>15904.74071692</v>
      </c>
      <c r="J23" s="18">
        <f t="shared" ref="J23:J32" si="2">(I23-I22)/I22</f>
        <v>-7.8479568424535073E-2</v>
      </c>
      <c r="R23" s="40" t="s">
        <v>23</v>
      </c>
      <c r="S23" s="17">
        <f>SUMIFS('CIP-Main data'!$Z$1:$Z$373,'CIP-Main data'!$D$1:$D$373,'Ana-5'!S$3)</f>
        <v>520</v>
      </c>
      <c r="T23" s="17">
        <v>522.6</v>
      </c>
      <c r="U23" s="17">
        <v>524.5</v>
      </c>
      <c r="V23" s="17">
        <v>526.6</v>
      </c>
      <c r="W23" s="17">
        <v>528.79999999999995</v>
      </c>
      <c r="X23" s="17">
        <v>531.79999999999995</v>
      </c>
      <c r="Y23" s="17">
        <v>534.59999999999991</v>
      </c>
      <c r="Z23" s="17">
        <v>537.90000000000009</v>
      </c>
      <c r="AA23" s="17">
        <v>541.79999999999995</v>
      </c>
      <c r="AB23" s="17">
        <v>545.5</v>
      </c>
      <c r="AC23" s="17">
        <v>551.79999999999995</v>
      </c>
      <c r="AD23" s="17">
        <v>551.79999999999995</v>
      </c>
      <c r="AE23" s="17">
        <f t="shared" si="0"/>
        <v>4.6650606667067704E-2</v>
      </c>
    </row>
    <row r="24" spans="8:31" x14ac:dyDescent="0.25">
      <c r="H24" s="17" t="s">
        <v>236</v>
      </c>
      <c r="I24" s="38">
        <v>15021.215412387</v>
      </c>
      <c r="J24" s="18">
        <f t="shared" si="2"/>
        <v>-5.5551066204623828E-2</v>
      </c>
      <c r="R24" s="40" t="s">
        <v>24</v>
      </c>
      <c r="S24" s="17">
        <f>SUMIFS('CIP-Main data'!$AA$1:$AA$373,'CIP-Main data'!$D$1:$D$373,'Ana-5'!S$3)</f>
        <v>488.1</v>
      </c>
      <c r="T24" s="17">
        <v>489.5</v>
      </c>
      <c r="U24" s="17">
        <v>483.79999999999995</v>
      </c>
      <c r="V24" s="17">
        <v>485.3</v>
      </c>
      <c r="W24" s="17">
        <v>486.19999999999993</v>
      </c>
      <c r="X24" s="17">
        <v>487.4</v>
      </c>
      <c r="Y24" s="17">
        <v>489.1</v>
      </c>
      <c r="Z24" s="17">
        <v>489.4</v>
      </c>
      <c r="AA24" s="17">
        <v>490.6</v>
      </c>
      <c r="AB24" s="17">
        <v>491.3</v>
      </c>
      <c r="AC24" s="17">
        <v>493</v>
      </c>
      <c r="AD24" s="17">
        <v>493</v>
      </c>
      <c r="AE24" s="17">
        <f t="shared" si="0"/>
        <v>0.25503703286424251</v>
      </c>
    </row>
    <row r="25" spans="8:31" x14ac:dyDescent="0.25">
      <c r="H25" s="17" t="s">
        <v>207</v>
      </c>
      <c r="I25" s="38">
        <v>17386.686679644998</v>
      </c>
      <c r="J25" s="18">
        <f t="shared" si="2"/>
        <v>0.15747535750717948</v>
      </c>
      <c r="R25" s="40" t="s">
        <v>25</v>
      </c>
      <c r="S25" s="17">
        <f>SUMIFS('CIP-Main data'!$AB$1:$AB$373,'CIP-Main data'!$D$1:$D$373,'Ana-5'!S$3)</f>
        <v>493.79999999999995</v>
      </c>
      <c r="T25" s="17">
        <v>495.9</v>
      </c>
      <c r="U25" s="17">
        <v>497.90000000000003</v>
      </c>
      <c r="V25" s="17">
        <v>499.5</v>
      </c>
      <c r="W25" s="17">
        <v>501.29999999999995</v>
      </c>
      <c r="X25" s="17">
        <v>503.4</v>
      </c>
      <c r="Y25" s="17">
        <v>505.09999999999997</v>
      </c>
      <c r="Z25" s="17">
        <v>506</v>
      </c>
      <c r="AA25" s="17">
        <v>507.19999999999993</v>
      </c>
      <c r="AB25" s="17">
        <v>509.1</v>
      </c>
      <c r="AC25" s="17">
        <v>511.5</v>
      </c>
      <c r="AD25" s="17">
        <v>511.50000000000006</v>
      </c>
      <c r="AE25" s="17">
        <f t="shared" si="0"/>
        <v>-0.10357742557565128</v>
      </c>
    </row>
    <row r="26" spans="8:31" x14ac:dyDescent="0.25">
      <c r="H26" s="17" t="s">
        <v>237</v>
      </c>
      <c r="I26" s="38">
        <v>17607.534813625</v>
      </c>
      <c r="J26" s="18">
        <f t="shared" si="2"/>
        <v>1.2702140324329533E-2</v>
      </c>
      <c r="R26" s="40" t="s">
        <v>26</v>
      </c>
      <c r="S26" s="17">
        <f>SUMIFS('CIP-Main data'!$AC$1:$AC$373,'CIP-Main data'!$D$1:$D$373,'Ana-5'!S$3)</f>
        <v>501.79999999999995</v>
      </c>
      <c r="T26" s="17">
        <v>504.9</v>
      </c>
      <c r="U26" s="17">
        <v>508.1</v>
      </c>
      <c r="V26" s="17">
        <v>515.20000000000005</v>
      </c>
      <c r="W26" s="17">
        <v>517.90000000000009</v>
      </c>
      <c r="X26" s="17">
        <v>520.20000000000005</v>
      </c>
      <c r="Y26" s="17">
        <v>521.1</v>
      </c>
      <c r="Z26" s="17">
        <v>522.09999999999991</v>
      </c>
      <c r="AA26" s="17">
        <v>523.20000000000005</v>
      </c>
      <c r="AB26" s="17">
        <v>523.9</v>
      </c>
      <c r="AC26" s="17">
        <v>526</v>
      </c>
      <c r="AD26" s="17">
        <v>526</v>
      </c>
      <c r="AE26" s="17">
        <f t="shared" si="0"/>
        <v>-0.27227980639577437</v>
      </c>
    </row>
    <row r="27" spans="8:31" x14ac:dyDescent="0.25">
      <c r="H27" s="17" t="s">
        <v>216</v>
      </c>
      <c r="I27" s="38">
        <v>17084.174631723999</v>
      </c>
      <c r="J27" s="18">
        <f t="shared" si="2"/>
        <v>-2.972364884924239E-2</v>
      </c>
      <c r="R27" s="40" t="s">
        <v>27</v>
      </c>
      <c r="S27" s="17">
        <f>SUMIFS('CIP-Main data'!$AD$1:$AD$373,'CIP-Main data'!$D$1:$D$373,'Ana-5'!S$3)</f>
        <v>506.2</v>
      </c>
      <c r="T27" s="17">
        <v>505.1</v>
      </c>
      <c r="U27" s="17">
        <v>508.1</v>
      </c>
      <c r="V27" s="17">
        <v>509.2</v>
      </c>
      <c r="W27" s="17">
        <v>513.70000000000005</v>
      </c>
      <c r="X27" s="17">
        <v>512.79999999999995</v>
      </c>
      <c r="Y27" s="17">
        <v>516.4</v>
      </c>
      <c r="Z27" s="17">
        <v>520.80000000000007</v>
      </c>
      <c r="AA27" s="17">
        <v>527.5</v>
      </c>
      <c r="AB27" s="17">
        <v>535.79999999999995</v>
      </c>
      <c r="AC27" s="17">
        <v>543.1</v>
      </c>
      <c r="AD27" s="17">
        <v>543.20000000000005</v>
      </c>
      <c r="AE27" s="17">
        <f t="shared" si="0"/>
        <v>0.17004127197955651</v>
      </c>
    </row>
    <row r="28" spans="8:31" x14ac:dyDescent="0.25">
      <c r="H28" s="17" t="s">
        <v>215</v>
      </c>
      <c r="I28" s="38">
        <v>18340.381595481929</v>
      </c>
      <c r="J28" s="18">
        <f t="shared" si="2"/>
        <v>7.3530445036850064E-2</v>
      </c>
      <c r="R28" s="40" t="s">
        <v>28</v>
      </c>
      <c r="S28" s="17">
        <f>SUMIFS('CIP-Main data'!$AE$1:$AE$373,'CIP-Main data'!$D$1:$D$373,'Ana-5'!S$3)</f>
        <v>500.09999999999997</v>
      </c>
      <c r="T28" s="17">
        <v>502.2</v>
      </c>
      <c r="U28" s="17">
        <v>502.3</v>
      </c>
      <c r="V28" s="17">
        <v>504.9</v>
      </c>
      <c r="W28" s="17">
        <v>507.1</v>
      </c>
      <c r="X28" s="17">
        <v>508.9</v>
      </c>
      <c r="Y28" s="17">
        <v>511.20000000000005</v>
      </c>
      <c r="Z28" s="17">
        <v>513.1</v>
      </c>
      <c r="AA28" s="17">
        <v>515.70000000000005</v>
      </c>
      <c r="AB28" s="17">
        <v>518.20000000000005</v>
      </c>
      <c r="AC28" s="17">
        <v>522</v>
      </c>
      <c r="AD28" s="17">
        <v>522</v>
      </c>
      <c r="AE28" s="17">
        <f t="shared" si="0"/>
        <v>1.3401152082847218E-2</v>
      </c>
    </row>
    <row r="29" spans="8:31" x14ac:dyDescent="0.25">
      <c r="H29" s="17" t="s">
        <v>208</v>
      </c>
      <c r="I29" s="38">
        <v>19648.115803371995</v>
      </c>
      <c r="J29" s="18">
        <f t="shared" si="2"/>
        <v>7.1303544099225291E-2</v>
      </c>
    </row>
    <row r="30" spans="8:31" x14ac:dyDescent="0.25">
      <c r="H30" s="17" t="s">
        <v>238</v>
      </c>
      <c r="I30" s="38">
        <v>19253.803364503616</v>
      </c>
      <c r="J30" s="18">
        <f t="shared" si="2"/>
        <v>-2.0068715128435242E-2</v>
      </c>
    </row>
    <row r="31" spans="8:31" x14ac:dyDescent="0.25">
      <c r="H31" s="17" t="s">
        <v>239</v>
      </c>
      <c r="I31" s="38">
        <v>17588.537024211</v>
      </c>
      <c r="J31" s="18">
        <f t="shared" si="2"/>
        <v>-8.6490253835390607E-2</v>
      </c>
    </row>
    <row r="32" spans="8:31" x14ac:dyDescent="0.25">
      <c r="H32" s="17" t="s">
        <v>221</v>
      </c>
      <c r="I32" s="38">
        <v>19030.701838389999</v>
      </c>
      <c r="J32" s="18">
        <f t="shared" si="2"/>
        <v>8.1994586144022566E-2</v>
      </c>
    </row>
  </sheetData>
  <phoneticPr fontId="19" type="noConversion"/>
  <conditionalFormatting sqref="J6:J16">
    <cfRule type="colorScale" priority="3">
      <colorScale>
        <cfvo type="min"/>
        <cfvo type="percentile" val="50"/>
        <cfvo type="max"/>
        <color rgb="FFF8696B"/>
        <color rgb="FFFFEB84"/>
        <color rgb="FF63BE7B"/>
      </colorScale>
    </cfRule>
  </conditionalFormatting>
  <conditionalFormatting sqref="J22:J32">
    <cfRule type="colorScale" priority="2">
      <colorScale>
        <cfvo type="min"/>
        <cfvo type="percentile" val="50"/>
        <cfvo type="max"/>
        <color rgb="FFF8696B"/>
        <color rgb="FFFFEB84"/>
        <color rgb="FF63BE7B"/>
      </colorScale>
    </cfRule>
  </conditionalFormatting>
  <conditionalFormatting sqref="AE5:AE28">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election activeCell="B19" sqref="B19"/>
    </sheetView>
  </sheetViews>
  <sheetFormatPr defaultRowHeight="15" x14ac:dyDescent="0.25"/>
  <cols>
    <col min="13" max="13" width="15.42578125" bestFit="1" customWidth="1"/>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CIP-Main data</vt:lpstr>
      <vt:lpstr>Problem statement</vt:lpstr>
      <vt:lpstr>ana-1</vt:lpstr>
      <vt:lpstr>Ana-2</vt:lpstr>
      <vt:lpstr>Ana-3</vt:lpstr>
      <vt:lpstr>Ana-4</vt:lpstr>
      <vt:lpstr>Ana-5</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2025-07-25T09:44:18Z</dcterms:created>
  <dcterms:modified xsi:type="dcterms:W3CDTF">2026-01-08T08:32:52Z</dcterms:modified>
</cp:coreProperties>
</file>